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macsenhiggins/R_Studio/Food Insecurity/"/>
    </mc:Choice>
  </mc:AlternateContent>
  <xr:revisionPtr revIDLastSave="0" documentId="13_ncr:1_{9F5035AA-E189-ED43-99F6-EC59C5763C1B}" xr6:coauthVersionLast="47" xr6:coauthVersionMax="47" xr10:uidLastSave="{00000000-0000-0000-0000-000000000000}"/>
  <bookViews>
    <workbookView xWindow="0" yWindow="680" windowWidth="22780" windowHeight="15260" activeTab="6" xr2:uid="{62A98904-D7A6-0D4E-901B-61FB21F34312}"/>
  </bookViews>
  <sheets>
    <sheet name="Data2020" sheetId="1" r:id="rId1"/>
    <sheet name="Data2023" sheetId="3" r:id="rId2"/>
    <sheet name="Poverty" sheetId="8" r:id="rId3"/>
    <sheet name="Race" sheetId="7" r:id="rId4"/>
    <sheet name="NSLP" sheetId="4" r:id="rId5"/>
    <sheet name="USPop" sheetId="5" r:id="rId6"/>
    <sheet name="Sources"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3" i="4" l="1"/>
  <c r="D53" i="4"/>
  <c r="C53" i="4"/>
  <c r="B53" i="4"/>
  <c r="F53" i="7"/>
  <c r="E53" i="7"/>
  <c r="D53" i="7"/>
  <c r="C53" i="7"/>
  <c r="B53" i="7"/>
  <c r="K53" i="1"/>
  <c r="J53" i="1"/>
</calcChain>
</file>

<file path=xl/sharedStrings.xml><?xml version="1.0" encoding="utf-8"?>
<sst xmlns="http://schemas.openxmlformats.org/spreadsheetml/2006/main" count="767" uniqueCount="258">
  <si>
    <t>StateName</t>
  </si>
  <si>
    <t>StateAbbrev</t>
  </si>
  <si>
    <t>FIPSCode</t>
  </si>
  <si>
    <t>Alabama</t>
  </si>
  <si>
    <t>AL</t>
  </si>
  <si>
    <t>South</t>
  </si>
  <si>
    <t>Alaska</t>
  </si>
  <si>
    <t>AK</t>
  </si>
  <si>
    <t>West</t>
  </si>
  <si>
    <t>Arizona</t>
  </si>
  <si>
    <t>AZ</t>
  </si>
  <si>
    <t>Arkansas</t>
  </si>
  <si>
    <t>AR</t>
  </si>
  <si>
    <t>California</t>
  </si>
  <si>
    <t>CA</t>
  </si>
  <si>
    <t>Colorado</t>
  </si>
  <si>
    <t>CO</t>
  </si>
  <si>
    <t>Connecticut</t>
  </si>
  <si>
    <t>CT</t>
  </si>
  <si>
    <t>Northeast</t>
  </si>
  <si>
    <t>Delaware</t>
  </si>
  <si>
    <t>DE</t>
  </si>
  <si>
    <t>Florida</t>
  </si>
  <si>
    <t>FL</t>
  </si>
  <si>
    <t>Georgia</t>
  </si>
  <si>
    <t>GA</t>
  </si>
  <si>
    <t>Hawaii</t>
  </si>
  <si>
    <t>HI</t>
  </si>
  <si>
    <t>Idaho</t>
  </si>
  <si>
    <t>ID</t>
  </si>
  <si>
    <t>Illinois</t>
  </si>
  <si>
    <t>IL</t>
  </si>
  <si>
    <t>Midwest</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</si>
  <si>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</si>
  <si>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</si>
  <si>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</si>
  <si>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</si>
  <si>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</si>
  <si>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</si>
  <si>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</si>
  <si>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</si>
  <si>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</si>
  <si>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</si>
  <si>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</si>
  <si>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</si>
  <si>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</si>
  <si>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</si>
  <si>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</si>
  <si>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</si>
  <si>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</si>
  <si>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</si>
  <si>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</si>
  <si>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</si>
  <si>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</si>
  <si>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</si>
  <si>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</si>
  <si>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</si>
  <si>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</si>
  <si>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</si>
  <si>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</si>
  <si>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</si>
  <si>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</si>
  <si>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</si>
  <si>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</si>
  <si>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</si>
  <si>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</si>
  <si>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</si>
  <si>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</si>
  <si>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</si>
  <si>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</si>
  <si>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</si>
  <si>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</si>
  <si>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</si>
  <si>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</si>
  <si>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</si>
  <si>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</si>
  <si>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</si>
  <si>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</si>
  <si>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</si>
  <si>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</si>
  <si>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</si>
  <si>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</si>
  <si>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</si>
  <si>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</si>
  <si>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</si>
  <si>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</si>
  <si>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</si>
  <si>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</si>
  <si>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</si>
  <si>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</si>
  <si>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</si>
  <si>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</si>
  <si>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</si>
  <si>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</si>
  <si>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</si>
  <si>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</si>
  <si>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</si>
  <si>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</si>
  <si>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</si>
  <si>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</si>
  <si>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</si>
  <si>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</si>
  <si>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</si>
  <si>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</si>
  <si>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</si>
  <si>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</si>
  <si>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</si>
  <si>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</si>
  <si>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DC</t>
  </si>
  <si>
    <t>SNAP Participation</t>
  </si>
  <si>
    <t>https://www.fns.usda.gov/pd/supplemental-nutrition-assistance-program-snap</t>
  </si>
  <si>
    <t>United States</t>
  </si>
  <si>
    <t>Unemployment Rate</t>
  </si>
  <si>
    <t>https://www.bls.gov/lau/lastrk20.htm</t>
  </si>
  <si>
    <t>NLSP: National School Lunch Program</t>
  </si>
  <si>
    <t>https://www.fns.usda.gov/pd/child-nutrition-tables</t>
  </si>
  <si>
    <t>NSLP_Lunches: National School Lunch Program</t>
  </si>
  <si>
    <t>Obese</t>
  </si>
  <si>
    <t>Centers for Disease Control and Prevention</t>
  </si>
  <si>
    <t>Behavioral Risk Factor Surveillance System</t>
  </si>
  <si>
    <t>Poverty Rate</t>
  </si>
  <si>
    <t>https://www.census.gov/data/tables/2021/demo/income-poverty/p60-273.html</t>
  </si>
  <si>
    <t>US</t>
  </si>
  <si>
    <t>Population</t>
  </si>
  <si>
    <t>https://www.census.gov/data/tables/time-series/demo/popest/2010s-state-total.html</t>
  </si>
  <si>
    <t>White</t>
  </si>
  <si>
    <t>American Community Survey</t>
  </si>
  <si>
    <t>NonWhite: Percent of people who do not identify as white</t>
  </si>
  <si>
    <t>Under 18: Percent of people under the age of 18</t>
  </si>
  <si>
    <t>Weight</t>
  </si>
  <si>
    <t>Height</t>
  </si>
  <si>
    <t>All</t>
  </si>
  <si>
    <t>https://www.cdc.gov/brfss/annual_data/annual_2020.html</t>
  </si>
  <si>
    <t>https://www.census.gov/programs-surveys/acs</t>
  </si>
  <si>
    <t>Variable</t>
  </si>
  <si>
    <t>Year</t>
  </si>
  <si>
    <t>Unit</t>
  </si>
  <si>
    <t>URL</t>
  </si>
  <si>
    <t>Number of People</t>
  </si>
  <si>
    <t>Percent</t>
  </si>
  <si>
    <t>People</t>
  </si>
  <si>
    <t>Number of lunches served</t>
  </si>
  <si>
    <t>Pounds</t>
  </si>
  <si>
    <t>Inches</t>
  </si>
  <si>
    <t>US Department of Agriculture Food and Nutrition Services</t>
  </si>
  <si>
    <t>Bureau of Labor Statistics</t>
  </si>
  <si>
    <t>US Bureau of the Census</t>
  </si>
  <si>
    <t>Agency Source</t>
  </si>
  <si>
    <t>Dataset Name</t>
  </si>
  <si>
    <t>Local Area Unemployment Statistics</t>
  </si>
  <si>
    <t>SNAP Data Tables</t>
  </si>
  <si>
    <t>Child Nutrition Tables</t>
  </si>
  <si>
    <t>State Population Totals</t>
  </si>
  <si>
    <t>Fiscal Year 2020 (monthly average)</t>
  </si>
  <si>
    <t>2020 (monthly average)</t>
  </si>
  <si>
    <t>Fiscal Year 2020</t>
  </si>
  <si>
    <t>2019-2020 average</t>
  </si>
  <si>
    <t>https://www.cdc.gov/obesity/data/prevalence-maps.html</t>
  </si>
  <si>
    <t>CensusRegion</t>
  </si>
  <si>
    <t>2020Weight</t>
  </si>
  <si>
    <t>2020Height</t>
  </si>
  <si>
    <t>2020SNAPParticipation</t>
  </si>
  <si>
    <t>2020UnemploymentRate</t>
  </si>
  <si>
    <t>2020NSLP</t>
  </si>
  <si>
    <t>2020NSLP_Lunches</t>
  </si>
  <si>
    <t>2020Obese</t>
  </si>
  <si>
    <t>2020PovertyRate</t>
  </si>
  <si>
    <t>2020White</t>
  </si>
  <si>
    <t>2020NonWhite</t>
  </si>
  <si>
    <t>2020Under18</t>
  </si>
  <si>
    <t>2023SNAPParticipation</t>
  </si>
  <si>
    <t>2023UnemploymentRate</t>
  </si>
  <si>
    <t>2023NSLP</t>
  </si>
  <si>
    <t>2023NSLP_Lunches</t>
  </si>
  <si>
    <t>2023PovertyRate</t>
  </si>
  <si>
    <t>2023White</t>
  </si>
  <si>
    <t>2020NSLP_ChildAdultFoodCareDailyAttendance</t>
  </si>
  <si>
    <t>2023NSLP_ChildAdultFoodCareDailyAttendance</t>
  </si>
  <si>
    <t>2021NSLP_Lunches</t>
  </si>
  <si>
    <t>2022NSLP_Lunches</t>
  </si>
  <si>
    <t>Fiscal Year 2023 (monthly average)</t>
  </si>
  <si>
    <t>Definition</t>
  </si>
  <si>
    <t>A person having origins in any of the original peoples of Europe, the Middle East, or North Africa. It includes people who indicate their race as "White" or report entries such as Irish, German, Italian, Lebanese, Arab, Moroccan, or Caucasian.</t>
  </si>
  <si>
    <t>*Per US Census Bureau Gloassry at https://www.census.gov/glossary/?term=White</t>
  </si>
  <si>
    <t>*White: Percent of people who identify as white</t>
  </si>
  <si>
    <t>Fiscal Year 2023</t>
  </si>
  <si>
    <t xml:space="preserve">  </t>
  </si>
  <si>
    <t xml:space="preserve"> </t>
  </si>
  <si>
    <t>NAME</t>
  </si>
  <si>
    <t>Northeast Region</t>
  </si>
  <si>
    <t>New England</t>
  </si>
  <si>
    <t>Middle Atlantic</t>
  </si>
  <si>
    <t>Midwest Region</t>
  </si>
  <si>
    <t>East North Central</t>
  </si>
  <si>
    <t>West North Central</t>
  </si>
  <si>
    <t>South Region</t>
  </si>
  <si>
    <t>South Atlantic</t>
  </si>
  <si>
    <t>East South Central</t>
  </si>
  <si>
    <t>West South Central</t>
  </si>
  <si>
    <t>West Region</t>
  </si>
  <si>
    <t>Mountain</t>
  </si>
  <si>
    <t>Pacific</t>
  </si>
  <si>
    <t>POPESTIMATE2020</t>
  </si>
  <si>
    <t>POPESTIMATE2021</t>
  </si>
  <si>
    <t>POPESTIMATE2022</t>
  </si>
  <si>
    <t>POPESTIMATE2023</t>
  </si>
  <si>
    <t>POPESTIMATE2024</t>
  </si>
  <si>
    <t>BIRTHS2020</t>
  </si>
  <si>
    <t>BIRTHS2021</t>
  </si>
  <si>
    <t>BIRTHS2022</t>
  </si>
  <si>
    <t>BIRTHS2023</t>
  </si>
  <si>
    <t>BIRTHS2024</t>
  </si>
  <si>
    <t>DEATHS2020</t>
  </si>
  <si>
    <t>DEATHS2021</t>
  </si>
  <si>
    <t>DEATHS2022</t>
  </si>
  <si>
    <t>DEATHS2023</t>
  </si>
  <si>
    <t>DEATHS2024</t>
  </si>
  <si>
    <t>INTERNATIONALMIG2020</t>
  </si>
  <si>
    <t>INTERNATIONALMIG2021</t>
  </si>
  <si>
    <t>INTERNATIONALMIG2022</t>
  </si>
  <si>
    <t>INTERNATIONALMIG2023</t>
  </si>
  <si>
    <t>INTERNATIONALMIG2024</t>
  </si>
  <si>
    <t>DOMESTICMIG2020</t>
  </si>
  <si>
    <t>DOMESTICMIG2021</t>
  </si>
  <si>
    <t>DOMESTICMIG2022</t>
  </si>
  <si>
    <t>DOMESTICMIG2023</t>
  </si>
  <si>
    <t>DOMESTICMIG2024</t>
  </si>
  <si>
    <t>2020EstPopulation</t>
  </si>
  <si>
    <t>2023EstPopulation</t>
  </si>
  <si>
    <t>2020 (Estimated)</t>
  </si>
  <si>
    <t>2023 (Estimated)</t>
  </si>
  <si>
    <t>https://www2.census.gov/programs-surveys/popest/datasets/2020-2024/state/totals/</t>
  </si>
  <si>
    <t>https://www.bls.gov/lau/lastrk23.htm</t>
  </si>
  <si>
    <t>23White</t>
  </si>
  <si>
    <t>23Black</t>
  </si>
  <si>
    <t>State</t>
  </si>
  <si>
    <t>23AmIndOrAK</t>
  </si>
  <si>
    <t>23Asian</t>
  </si>
  <si>
    <t>23HIorPI</t>
  </si>
  <si>
    <t>23Urban</t>
  </si>
  <si>
    <t>23Rural</t>
  </si>
  <si>
    <t>23Poverty</t>
  </si>
  <si>
    <t>23BelowPov</t>
  </si>
  <si>
    <t>&lt;18BelowPov</t>
  </si>
  <si>
    <t>23UrbanBelowPov</t>
  </si>
  <si>
    <t>23RuralBelowPov</t>
  </si>
  <si>
    <t>&lt;18UrbanBelowPov</t>
  </si>
  <si>
    <t>&lt;18RuralBelowPov</t>
  </si>
  <si>
    <t>&gt;65BelowPoverty</t>
  </si>
  <si>
    <t>&gt;65UrbanBlwPov</t>
  </si>
  <si>
    <t>&gt;65RuralBlwPov</t>
  </si>
  <si>
    <t xml:space="preserve">US </t>
  </si>
  <si>
    <t>2023NonWhite</t>
  </si>
  <si>
    <t>2023Obese</t>
  </si>
  <si>
    <t>2023Weight</t>
  </si>
  <si>
    <t>2023Height</t>
  </si>
  <si>
    <t>23PopEst</t>
  </si>
  <si>
    <t>https://www.cdc.gov/brfss/annual_data/annual_2023.html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</si>
</sst>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2"/>
      <color theme="1"/>
      <name val="Calibri"/>
      <family val="2"/>
      <scheme val="minor"/>
    </font>
    <font>
      <sz val="10"/>
      <name val="MS Sans Serif"/>
      <family val="2"/>
    </font>
    <font>
      <sz val="12"/>
      <color theme="1"/>
      <name val="Calibri"/>
      <family val="2"/>
    </font>
    <font>
      <sz val="12"/>
      <color rgb="FF000000"/>
      <name val="Calibri"/>
      <family val="2"/>
    </font>
    <font>
      <b/>
      <sz val="12"/>
      <color theme="1"/>
      <name val="Calibri"/>
      <family val="2"/>
      <scheme val="minor"/>
    </font>
    <font>
      <b/>
      <sz val="12"/>
      <color theme="1"/>
      <name val="Calibri"/>
      <family val="2"/>
    </font>
    <font>
      <sz val="12"/>
      <color rgb="FF333333"/>
      <name val="Calibri"/>
      <family val="2"/>
    </font>
    <font>
      <u/>
      <sz val="12"/>
      <color theme="10"/>
      <name val="Calibri"/>
      <family val="2"/>
      <scheme val="minor"/>
    </font>
    <font>
      <sz val="12"/>
      <name val="Calibri"/>
      <family val="2"/>
    </font>
    <font>
      <b/>
      <sz val="24"/>
      <color rgb="FF112F5B"/>
      <name val="Arial"/>
      <family val="2"/>
    </font>
    <font>
      <b/>
      <sz val="18"/>
      <color rgb="FF112E51"/>
      <name val="Arial"/>
      <family val="2"/>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xf numFmtId="0" fontId="7" fillId="0" borderId="0" applyNumberFormat="0" applyFill="0" applyBorder="0" applyAlignment="0" applyProtection="0"/>
  </cellStyleXfs>
  <cellXfs count="25">
    <xf numFmtId="0" fontId="0" fillId="0" borderId="0" xfId="0"/>
    <xf numFmtId="0" fontId="2" fillId="0" borderId="0" xfId="0" applyFont="1"/>
    <xf numFmtId="0" fontId="3" fillId="0" borderId="0" xfId="0" applyFont="1"/>
    <xf numFmtId="3" fontId="3" fillId="0" borderId="0" xfId="0" applyNumberFormat="1" applyFont="1" applyAlignment="1">
      <alignment horizontal="right" vertical="top" shrinkToFit="1"/>
    </xf>
    <xf numFmtId="3" fontId="2" fillId="0" borderId="0" xfId="0" applyNumberFormat="1" applyFont="1"/>
    <xf numFmtId="0" fontId="5" fillId="0" borderId="0" xfId="0" applyFont="1" applyAlignment="1">
      <alignment horizontal="right"/>
    </xf>
    <xf numFmtId="3" fontId="2" fillId="0" borderId="0" xfId="0" applyNumberFormat="1" applyFont="1" applyAlignment="1" applyProtection="1">
      <alignment horizontal="right"/>
      <protection locked="0"/>
    </xf>
    <xf numFmtId="164" fontId="2" fillId="0" borderId="0" xfId="0" applyNumberFormat="1" applyFont="1"/>
    <xf numFmtId="164" fontId="3" fillId="0" borderId="0" xfId="0" applyNumberFormat="1" applyFont="1"/>
    <xf numFmtId="0" fontId="4" fillId="0" borderId="0" xfId="0" applyFont="1"/>
    <xf numFmtId="0" fontId="4" fillId="0" borderId="0" xfId="0" applyFont="1" applyAlignment="1">
      <alignment horizontal="right"/>
    </xf>
    <xf numFmtId="164" fontId="0" fillId="0" borderId="0" xfId="0" applyNumberFormat="1"/>
    <xf numFmtId="0" fontId="2" fillId="0" borderId="0" xfId="0" applyFont="1" applyAlignment="1">
      <alignment horizontal="right"/>
    </xf>
    <xf numFmtId="0" fontId="6" fillId="0" borderId="0" xfId="0" applyFont="1"/>
    <xf numFmtId="0" fontId="7" fillId="0" borderId="0" xfId="2"/>
    <xf numFmtId="0" fontId="0" fillId="0" borderId="0" xfId="0" applyAlignment="1">
      <alignment horizontal="left"/>
    </xf>
    <xf numFmtId="0" fontId="5" fillId="0" borderId="0" xfId="0" applyFont="1" applyAlignment="1">
      <alignment horizontal="left"/>
    </xf>
    <xf numFmtId="3" fontId="8" fillId="0" borderId="0" xfId="0" applyNumberFormat="1" applyFont="1" applyAlignment="1">
      <alignment horizontal="right"/>
    </xf>
    <xf numFmtId="3" fontId="0" fillId="0" borderId="0" xfId="0" applyNumberFormat="1"/>
    <xf numFmtId="0" fontId="9" fillId="0" borderId="0" xfId="0" applyFont="1" applyAlignment="1">
      <alignment vertical="center" wrapText="1"/>
    </xf>
    <xf numFmtId="0" fontId="10"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horizontal="right" vertical="center" wrapText="1"/>
    </xf>
    <xf numFmtId="164" fontId="4" fillId="0" borderId="0" xfId="0" applyNumberFormat="1" applyFont="1"/>
    <xf numFmtId="0" fontId="0" fillId="2" borderId="0" xfId="0" applyFill="1"/>
  </cellXfs>
  <cellStyles count="3">
    <cellStyle name="Hyperlink" xfId="2" builtinId="8"/>
    <cellStyle name="Normal" xfId="0" builtinId="0"/>
    <cellStyle name="Normal 2" xfId="1" xr:uid="{90DDE7E6-2CAA-7A4B-A7A9-4B7092A78E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8" Type="http://schemas.openxmlformats.org/officeDocument/2006/relationships/hyperlink" Target="https://www.census.gov/data/tables/2021/demo/income-poverty/p60-273.html" TargetMode="External"/><Relationship Id="rId13" Type="http://schemas.openxmlformats.org/officeDocument/2006/relationships/hyperlink" Target="https://www2.census.gov/programs-surveys/popest/datasets/2020-2024/state/totals/" TargetMode="External"/><Relationship Id="rId18" Type="http://schemas.openxmlformats.org/officeDocument/2006/relationships/hyperlink" Target="https://www.census.gov/programs-surveys/acs" TargetMode="External"/><Relationship Id="rId3" Type="http://schemas.openxmlformats.org/officeDocument/2006/relationships/hyperlink" Target="https://www.fns.usda.gov/pd/child-nutrition-tables" TargetMode="External"/><Relationship Id="rId7" Type="http://schemas.openxmlformats.org/officeDocument/2006/relationships/hyperlink" Target="https://www.fns.usda.gov/pd/child-nutrition-tables" TargetMode="External"/><Relationship Id="rId12" Type="http://schemas.openxmlformats.org/officeDocument/2006/relationships/hyperlink" Target="https://www.fns.usda.gov/pd/child-nutrition-tables" TargetMode="External"/><Relationship Id="rId17" Type="http://schemas.openxmlformats.org/officeDocument/2006/relationships/hyperlink" Target="https://www.census.gov/data/tables/2021/demo/income-poverty/p60-273.html" TargetMode="External"/><Relationship Id="rId2" Type="http://schemas.openxmlformats.org/officeDocument/2006/relationships/hyperlink" Target="https://www.bls.gov/lau/lastrk20.htm" TargetMode="External"/><Relationship Id="rId16" Type="http://schemas.openxmlformats.org/officeDocument/2006/relationships/hyperlink" Target="https://www.fns.usda.gov/pd/child-nutrition-tables" TargetMode="External"/><Relationship Id="rId1" Type="http://schemas.openxmlformats.org/officeDocument/2006/relationships/hyperlink" Target="https://www.fns.usda.gov/pd/supplemental-nutrition-assistance-program-snap" TargetMode="External"/><Relationship Id="rId6" Type="http://schemas.openxmlformats.org/officeDocument/2006/relationships/hyperlink" Target="https://www.cdc.gov/brfss/annual_data/annual_2020.html" TargetMode="External"/><Relationship Id="rId11" Type="http://schemas.openxmlformats.org/officeDocument/2006/relationships/hyperlink" Target="https://www.bls.gov/lau/lastrk23.htm" TargetMode="External"/><Relationship Id="rId5" Type="http://schemas.openxmlformats.org/officeDocument/2006/relationships/hyperlink" Target="https://www.cdc.gov/brfss/annual_data/annual_2020.html" TargetMode="External"/><Relationship Id="rId15" Type="http://schemas.openxmlformats.org/officeDocument/2006/relationships/hyperlink" Target="https://www.cdc.gov/brfss/annual_data/annual_2023.html" TargetMode="External"/><Relationship Id="rId10" Type="http://schemas.openxmlformats.org/officeDocument/2006/relationships/hyperlink" Target="https://www.fns.usda.gov/pd/supplemental-nutrition-assistance-program-snap" TargetMode="External"/><Relationship Id="rId19" Type="http://schemas.openxmlformats.org/officeDocument/2006/relationships/hyperlink" Target="https://www.cdc.gov/obesity/data/prevalence-maps.html" TargetMode="External"/><Relationship Id="rId4" Type="http://schemas.openxmlformats.org/officeDocument/2006/relationships/hyperlink" Target="https://www.census.gov/data/tables/time-series/demo/popest/2010s-state-total.html" TargetMode="External"/><Relationship Id="rId9" Type="http://schemas.openxmlformats.org/officeDocument/2006/relationships/hyperlink" Target="https://www.census.gov/programs-surveys/acs" TargetMode="External"/><Relationship Id="rId14" Type="http://schemas.openxmlformats.org/officeDocument/2006/relationships/hyperlink" Target="https://www.cdc.gov/brfss/annual_data/annual_202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994E2-6F43-C642-B1D9-A8C8D9BFEE57}">
  <dimension ref="A1:T55"/>
  <sheetViews>
    <sheetView workbookViewId="0">
      <selection activeCell="N8" sqref="N8"/>
    </sheetView>
  </sheetViews>
  <sheetFormatPr baseColWidth="10" defaultColWidth="10.83203125" defaultRowHeight="16"/>
  <cols>
    <col min="1" max="1" width="17.5" style="1" bestFit="1" customWidth="1"/>
    <col min="2" max="2" width="11.33203125" style="1" bestFit="1" customWidth="1"/>
    <col min="3" max="3" width="8.6640625" style="1" bestFit="1" customWidth="1"/>
    <col min="4" max="4" width="13" style="1" bestFit="1" customWidth="1"/>
    <col min="5" max="6" width="10.83203125" style="1"/>
    <col min="7" max="7" width="20.1640625" style="1" bestFit="1" customWidth="1"/>
    <col min="8" max="8" width="21.83203125" style="1" bestFit="1" customWidth="1"/>
    <col min="9" max="9" width="10.1640625" style="1" bestFit="1" customWidth="1"/>
    <col min="10" max="10" width="16.6640625" style="1" bestFit="1" customWidth="1"/>
    <col min="11" max="11" width="41.1640625" style="1" bestFit="1" customWidth="1"/>
    <col min="12" max="12" width="10" style="1" bestFit="1" customWidth="1"/>
    <col min="13" max="13" width="15" style="1" bestFit="1" customWidth="1"/>
    <col min="14" max="14" width="16.5" style="1" bestFit="1" customWidth="1"/>
    <col min="15" max="15" width="9.83203125" bestFit="1" customWidth="1"/>
    <col min="16" max="16" width="13.33203125" style="1" bestFit="1" customWidth="1"/>
    <col min="17" max="17" width="12" bestFit="1" customWidth="1"/>
    <col min="18" max="18" width="10.83203125" style="1"/>
    <col min="19" max="20" width="10.6640625" customWidth="1"/>
    <col min="21" max="16384" width="10.83203125" style="1"/>
  </cols>
  <sheetData>
    <row r="1" spans="1:17">
      <c r="A1" s="16" t="s">
        <v>0</v>
      </c>
      <c r="B1" s="16" t="s">
        <v>1</v>
      </c>
      <c r="C1" s="16" t="s">
        <v>2</v>
      </c>
      <c r="D1" s="16" t="s">
        <v>158</v>
      </c>
      <c r="E1" s="5" t="s">
        <v>159</v>
      </c>
      <c r="F1" s="5" t="s">
        <v>160</v>
      </c>
      <c r="G1" s="5" t="s">
        <v>161</v>
      </c>
      <c r="H1" s="5" t="s">
        <v>162</v>
      </c>
      <c r="I1" s="5" t="s">
        <v>163</v>
      </c>
      <c r="J1" s="5" t="s">
        <v>164</v>
      </c>
      <c r="K1" s="5" t="s">
        <v>176</v>
      </c>
      <c r="L1" s="5" t="s">
        <v>165</v>
      </c>
      <c r="M1" s="5" t="s">
        <v>166</v>
      </c>
      <c r="N1" s="5" t="s">
        <v>227</v>
      </c>
      <c r="O1" s="10" t="s">
        <v>167</v>
      </c>
      <c r="P1" s="5" t="s">
        <v>168</v>
      </c>
      <c r="Q1" s="10" t="s">
        <v>169</v>
      </c>
    </row>
    <row r="2" spans="1:17">
      <c r="A2" s="2" t="s">
        <v>3</v>
      </c>
      <c r="B2" s="2" t="s">
        <v>4</v>
      </c>
      <c r="C2" s="2">
        <v>1</v>
      </c>
      <c r="D2" s="1" t="s">
        <v>5</v>
      </c>
      <c r="E2" s="7">
        <v>187.5</v>
      </c>
      <c r="F2" s="7">
        <v>65.5</v>
      </c>
      <c r="G2" s="4">
        <v>730708</v>
      </c>
      <c r="H2" s="8">
        <v>5.9</v>
      </c>
      <c r="I2" s="3">
        <v>364616</v>
      </c>
      <c r="J2" s="17">
        <v>50599123</v>
      </c>
      <c r="K2" s="17">
        <v>56645.75</v>
      </c>
      <c r="L2" s="7">
        <v>39</v>
      </c>
      <c r="M2" s="7">
        <v>13.9</v>
      </c>
      <c r="N2" s="6">
        <v>5033094</v>
      </c>
      <c r="O2" s="11">
        <v>65.5</v>
      </c>
      <c r="P2" s="7">
        <v>34.5</v>
      </c>
      <c r="Q2" s="11">
        <v>22.2</v>
      </c>
    </row>
    <row r="3" spans="1:17">
      <c r="A3" s="2" t="s">
        <v>6</v>
      </c>
      <c r="B3" s="2" t="s">
        <v>7</v>
      </c>
      <c r="C3" s="2">
        <v>2</v>
      </c>
      <c r="D3" s="1" t="s">
        <v>8</v>
      </c>
      <c r="E3" s="7">
        <v>182.8</v>
      </c>
      <c r="F3" s="7">
        <v>65.7</v>
      </c>
      <c r="G3" s="4">
        <v>83194</v>
      </c>
      <c r="H3" s="8">
        <v>7.8</v>
      </c>
      <c r="I3" s="3">
        <v>34970</v>
      </c>
      <c r="J3" s="17">
        <v>4771549</v>
      </c>
      <c r="K3" s="17">
        <v>7222.5</v>
      </c>
      <c r="L3" s="7">
        <v>31.9</v>
      </c>
      <c r="M3" s="7">
        <v>11.8</v>
      </c>
      <c r="N3" s="6">
        <v>733017</v>
      </c>
      <c r="O3" s="11">
        <v>60.6</v>
      </c>
      <c r="P3" s="7">
        <v>39.4</v>
      </c>
      <c r="Q3" s="11">
        <v>24.6</v>
      </c>
    </row>
    <row r="4" spans="1:17">
      <c r="A4" s="2" t="s">
        <v>9</v>
      </c>
      <c r="B4" s="2" t="s">
        <v>10</v>
      </c>
      <c r="C4" s="2">
        <v>4</v>
      </c>
      <c r="D4" s="1" t="s">
        <v>8</v>
      </c>
      <c r="E4" s="7">
        <v>178.7</v>
      </c>
      <c r="F4" s="7">
        <v>65.5</v>
      </c>
      <c r="G4" s="4">
        <v>833448</v>
      </c>
      <c r="H4" s="8">
        <v>7.9</v>
      </c>
      <c r="I4" s="3">
        <v>490410</v>
      </c>
      <c r="J4" s="17">
        <v>69061516</v>
      </c>
      <c r="K4" s="17">
        <v>48310</v>
      </c>
      <c r="L4" s="7">
        <v>30.9</v>
      </c>
      <c r="M4" s="7">
        <v>10.4</v>
      </c>
      <c r="N4" s="6">
        <v>7187135</v>
      </c>
      <c r="O4" s="11">
        <v>54.7</v>
      </c>
      <c r="P4" s="7">
        <v>45.3</v>
      </c>
      <c r="Q4" s="11">
        <v>22.5</v>
      </c>
    </row>
    <row r="5" spans="1:17">
      <c r="A5" s="2" t="s">
        <v>11</v>
      </c>
      <c r="B5" s="2" t="s">
        <v>12</v>
      </c>
      <c r="C5" s="2">
        <v>5</v>
      </c>
      <c r="D5" s="1" t="s">
        <v>5</v>
      </c>
      <c r="E5" s="7">
        <v>182.2</v>
      </c>
      <c r="F5" s="7">
        <v>65.3</v>
      </c>
      <c r="G5" s="4">
        <v>393091</v>
      </c>
      <c r="H5" s="8">
        <v>6.1</v>
      </c>
      <c r="I5" s="3">
        <v>277628</v>
      </c>
      <c r="J5" s="17">
        <v>42208047</v>
      </c>
      <c r="K5" s="17">
        <v>49504</v>
      </c>
      <c r="L5" s="7">
        <v>36.4</v>
      </c>
      <c r="M5" s="7">
        <v>14.1</v>
      </c>
      <c r="N5" s="6">
        <v>3014546</v>
      </c>
      <c r="O5" s="11">
        <v>72.400000000000006</v>
      </c>
      <c r="P5" s="7">
        <v>27.599999999999994</v>
      </c>
      <c r="Q5" s="11">
        <v>23.2</v>
      </c>
    </row>
    <row r="6" spans="1:17">
      <c r="A6" s="2" t="s">
        <v>13</v>
      </c>
      <c r="B6" s="2" t="s">
        <v>14</v>
      </c>
      <c r="C6" s="2">
        <v>6</v>
      </c>
      <c r="D6" s="1" t="s">
        <v>8</v>
      </c>
      <c r="E6" s="7">
        <v>175</v>
      </c>
      <c r="F6" s="7">
        <v>65.400000000000006</v>
      </c>
      <c r="G6" s="4">
        <v>4312002</v>
      </c>
      <c r="H6" s="8">
        <v>10.1</v>
      </c>
      <c r="I6" s="3">
        <v>2590735</v>
      </c>
      <c r="J6" s="17">
        <v>393287866</v>
      </c>
      <c r="K6" s="17">
        <v>617999.25</v>
      </c>
      <c r="L6" s="7">
        <v>30.2</v>
      </c>
      <c r="M6" s="7">
        <v>10.6</v>
      </c>
      <c r="N6" s="6">
        <v>39521958</v>
      </c>
      <c r="O6" s="11">
        <v>37.200000000000003</v>
      </c>
      <c r="P6" s="7">
        <v>62.8</v>
      </c>
      <c r="Q6" s="11">
        <v>22.5</v>
      </c>
    </row>
    <row r="7" spans="1:17">
      <c r="A7" s="2" t="s">
        <v>15</v>
      </c>
      <c r="B7" s="2" t="s">
        <v>16</v>
      </c>
      <c r="C7" s="2">
        <v>8</v>
      </c>
      <c r="D7" s="1" t="s">
        <v>8</v>
      </c>
      <c r="E7" s="7">
        <v>175.4</v>
      </c>
      <c r="F7" s="7">
        <v>65.900000000000006</v>
      </c>
      <c r="G7" s="4">
        <v>483097</v>
      </c>
      <c r="H7" s="8">
        <v>7.3</v>
      </c>
      <c r="I7" s="3">
        <v>247094</v>
      </c>
      <c r="J7" s="17">
        <v>33051021</v>
      </c>
      <c r="K7" s="17">
        <v>39012.5</v>
      </c>
      <c r="L7" s="7">
        <v>24.2</v>
      </c>
      <c r="M7" s="7">
        <v>9.4</v>
      </c>
      <c r="N7" s="6">
        <v>5787129</v>
      </c>
      <c r="O7" s="11">
        <v>68.099999999999994</v>
      </c>
      <c r="P7" s="7">
        <v>31.900000000000006</v>
      </c>
      <c r="Q7" s="11">
        <v>21.9</v>
      </c>
    </row>
    <row r="8" spans="1:17">
      <c r="A8" s="2" t="s">
        <v>17</v>
      </c>
      <c r="B8" s="2" t="s">
        <v>18</v>
      </c>
      <c r="C8" s="2">
        <v>9</v>
      </c>
      <c r="D8" s="1" t="s">
        <v>19</v>
      </c>
      <c r="E8" s="7">
        <v>177.5</v>
      </c>
      <c r="F8" s="7">
        <v>65.2</v>
      </c>
      <c r="G8" s="17">
        <v>372305</v>
      </c>
      <c r="H8" s="8">
        <v>7.9</v>
      </c>
      <c r="I8" s="3">
        <v>211190</v>
      </c>
      <c r="J8" s="17">
        <v>29839677</v>
      </c>
      <c r="K8" s="17">
        <v>20408</v>
      </c>
      <c r="L8" s="7">
        <v>29.2</v>
      </c>
      <c r="M8" s="7">
        <v>9.8000000000000007</v>
      </c>
      <c r="N8" s="6">
        <v>3579918</v>
      </c>
      <c r="O8" s="11">
        <v>66.900000000000006</v>
      </c>
      <c r="P8" s="7">
        <v>33.099999999999994</v>
      </c>
      <c r="Q8" s="11">
        <v>20.399999999999999</v>
      </c>
    </row>
    <row r="9" spans="1:17">
      <c r="A9" s="2" t="s">
        <v>20</v>
      </c>
      <c r="B9" s="2" t="s">
        <v>21</v>
      </c>
      <c r="C9" s="2">
        <v>10</v>
      </c>
      <c r="D9" s="1" t="s">
        <v>5</v>
      </c>
      <c r="E9" s="7">
        <v>181.3</v>
      </c>
      <c r="F9" s="7">
        <v>65.400000000000006</v>
      </c>
      <c r="G9" s="4">
        <v>120416</v>
      </c>
      <c r="H9" s="8">
        <v>7.8</v>
      </c>
      <c r="I9" s="3">
        <v>65816</v>
      </c>
      <c r="J9" s="17">
        <v>9064531</v>
      </c>
      <c r="K9" s="17">
        <v>28074.75</v>
      </c>
      <c r="L9" s="7">
        <v>36.5</v>
      </c>
      <c r="M9" s="7">
        <v>8.5</v>
      </c>
      <c r="N9" s="6">
        <v>991928</v>
      </c>
      <c r="O9" s="11">
        <v>62.3</v>
      </c>
      <c r="P9" s="7">
        <v>37.700000000000003</v>
      </c>
      <c r="Q9" s="11">
        <v>20.9</v>
      </c>
    </row>
    <row r="10" spans="1:17">
      <c r="A10" s="2" t="s">
        <v>107</v>
      </c>
      <c r="B10" s="2" t="s">
        <v>108</v>
      </c>
      <c r="C10" s="2">
        <v>11</v>
      </c>
      <c r="D10" s="1" t="s">
        <v>5</v>
      </c>
      <c r="E10" s="7">
        <v>173.3</v>
      </c>
      <c r="F10" s="7">
        <v>65.7</v>
      </c>
      <c r="G10" s="4">
        <v>116406</v>
      </c>
      <c r="H10" s="8">
        <v>8</v>
      </c>
      <c r="I10" s="3">
        <v>38656</v>
      </c>
      <c r="J10" s="17">
        <v>5249360</v>
      </c>
      <c r="K10" s="17">
        <v>11417</v>
      </c>
      <c r="L10" s="7">
        <v>24.3</v>
      </c>
      <c r="M10" s="7">
        <v>14.6</v>
      </c>
      <c r="N10" s="6">
        <v>670917</v>
      </c>
      <c r="O10" s="11">
        <v>36.6</v>
      </c>
      <c r="P10" s="7">
        <v>63.4</v>
      </c>
      <c r="Q10" s="11">
        <v>18.2</v>
      </c>
    </row>
    <row r="11" spans="1:17">
      <c r="A11" s="2" t="s">
        <v>22</v>
      </c>
      <c r="B11" s="2" t="s">
        <v>23</v>
      </c>
      <c r="C11" s="2">
        <v>12</v>
      </c>
      <c r="D11" s="1" t="s">
        <v>5</v>
      </c>
      <c r="E11" s="7">
        <v>178.6</v>
      </c>
      <c r="F11" s="7">
        <v>65.400000000000006</v>
      </c>
      <c r="G11" s="4">
        <v>3177286</v>
      </c>
      <c r="H11" s="8">
        <v>7.7</v>
      </c>
      <c r="I11" s="3">
        <v>1217803</v>
      </c>
      <c r="J11" s="17">
        <v>174993455</v>
      </c>
      <c r="K11" s="17">
        <v>264391.75</v>
      </c>
      <c r="L11" s="7">
        <v>28.4</v>
      </c>
      <c r="M11" s="7">
        <v>12.4</v>
      </c>
      <c r="N11" s="6">
        <v>21592035</v>
      </c>
      <c r="O11" s="11">
        <v>53.9</v>
      </c>
      <c r="P11" s="7">
        <v>46.1</v>
      </c>
      <c r="Q11" s="11">
        <v>19.7</v>
      </c>
    </row>
    <row r="12" spans="1:17">
      <c r="A12" s="2" t="s">
        <v>24</v>
      </c>
      <c r="B12" s="2" t="s">
        <v>25</v>
      </c>
      <c r="C12" s="2">
        <v>13</v>
      </c>
      <c r="D12" s="1" t="s">
        <v>5</v>
      </c>
      <c r="E12" s="7">
        <v>183.5</v>
      </c>
      <c r="F12" s="7">
        <v>65.400000000000006</v>
      </c>
      <c r="G12" s="4">
        <v>1565935</v>
      </c>
      <c r="H12" s="8">
        <v>6.5</v>
      </c>
      <c r="I12" s="3">
        <v>949039</v>
      </c>
      <c r="J12" s="17">
        <v>142515772</v>
      </c>
      <c r="K12" s="17">
        <v>120039.25</v>
      </c>
      <c r="L12" s="7">
        <v>34.200000000000003</v>
      </c>
      <c r="M12" s="7">
        <v>12.7</v>
      </c>
      <c r="N12" s="6">
        <v>10732888</v>
      </c>
      <c r="O12" s="11">
        <v>52.7</v>
      </c>
      <c r="P12" s="7">
        <v>47.3</v>
      </c>
      <c r="Q12" s="11">
        <v>23.6</v>
      </c>
    </row>
    <row r="13" spans="1:17">
      <c r="A13" s="2" t="s">
        <v>26</v>
      </c>
      <c r="B13" s="2" t="s">
        <v>27</v>
      </c>
      <c r="C13" s="2">
        <v>15</v>
      </c>
      <c r="D13" s="1" t="s">
        <v>8</v>
      </c>
      <c r="E13" s="7">
        <v>167.7</v>
      </c>
      <c r="F13" s="7">
        <v>64.599999999999994</v>
      </c>
      <c r="G13" s="4">
        <v>165418</v>
      </c>
      <c r="H13" s="8">
        <v>11.6</v>
      </c>
      <c r="I13" s="3">
        <v>73986</v>
      </c>
      <c r="J13" s="17">
        <v>10402652</v>
      </c>
      <c r="K13" s="17">
        <v>8111.25</v>
      </c>
      <c r="L13" s="7">
        <v>24.5</v>
      </c>
      <c r="M13" s="7">
        <v>9.6999999999999993</v>
      </c>
      <c r="N13" s="6">
        <v>1451252</v>
      </c>
      <c r="O13" s="11">
        <v>22</v>
      </c>
      <c r="P13" s="7">
        <v>78</v>
      </c>
      <c r="Q13" s="11">
        <v>21.2</v>
      </c>
    </row>
    <row r="14" spans="1:17">
      <c r="A14" s="2" t="s">
        <v>28</v>
      </c>
      <c r="B14" s="2" t="s">
        <v>29</v>
      </c>
      <c r="C14" s="2">
        <v>16</v>
      </c>
      <c r="D14" s="1" t="s">
        <v>8</v>
      </c>
      <c r="E14" s="7">
        <v>183.8</v>
      </c>
      <c r="F14" s="7">
        <v>65.8</v>
      </c>
      <c r="G14" s="4">
        <v>146497</v>
      </c>
      <c r="H14" s="8">
        <v>5.4</v>
      </c>
      <c r="I14" s="3">
        <v>109561</v>
      </c>
      <c r="J14" s="17">
        <v>15412645</v>
      </c>
      <c r="K14" s="17">
        <v>10451.75</v>
      </c>
      <c r="L14" s="7">
        <v>31.1</v>
      </c>
      <c r="M14" s="7">
        <v>8.1</v>
      </c>
      <c r="N14" s="6">
        <v>1849415</v>
      </c>
      <c r="O14" s="11">
        <v>82</v>
      </c>
      <c r="P14" s="7">
        <v>18</v>
      </c>
      <c r="Q14" s="11">
        <v>25.1</v>
      </c>
    </row>
    <row r="15" spans="1:17">
      <c r="A15" s="2" t="s">
        <v>30</v>
      </c>
      <c r="B15" s="2" t="s">
        <v>31</v>
      </c>
      <c r="C15" s="2">
        <v>17</v>
      </c>
      <c r="D15" s="1" t="s">
        <v>32</v>
      </c>
      <c r="E15" s="7">
        <v>182.1</v>
      </c>
      <c r="F15" s="7">
        <v>65.8</v>
      </c>
      <c r="G15" s="4">
        <v>1869977</v>
      </c>
      <c r="H15" s="8">
        <v>9.5</v>
      </c>
      <c r="I15" s="3">
        <v>689810</v>
      </c>
      <c r="J15" s="17">
        <v>96231867</v>
      </c>
      <c r="K15" s="17">
        <v>104639.25</v>
      </c>
      <c r="L15" s="7">
        <v>32.4</v>
      </c>
      <c r="M15" s="7">
        <v>8.6</v>
      </c>
      <c r="N15" s="6">
        <v>12799088</v>
      </c>
      <c r="O15" s="11">
        <v>61.3</v>
      </c>
      <c r="P15" s="7">
        <v>38.700000000000003</v>
      </c>
      <c r="Q15" s="11">
        <v>22.2</v>
      </c>
    </row>
    <row r="16" spans="1:17">
      <c r="A16" s="2" t="s">
        <v>33</v>
      </c>
      <c r="B16" s="2" t="s">
        <v>34</v>
      </c>
      <c r="C16" s="2">
        <v>18</v>
      </c>
      <c r="D16" s="1" t="s">
        <v>32</v>
      </c>
      <c r="E16" s="7">
        <v>185.9</v>
      </c>
      <c r="F16" s="7">
        <v>65.5</v>
      </c>
      <c r="G16" s="4">
        <v>601417</v>
      </c>
      <c r="H16" s="8">
        <v>7.1</v>
      </c>
      <c r="I16" s="3">
        <v>536155</v>
      </c>
      <c r="J16" s="17">
        <v>77823945</v>
      </c>
      <c r="K16" s="17">
        <v>91036.5</v>
      </c>
      <c r="L16" s="7">
        <v>36.799999999999997</v>
      </c>
      <c r="M16" s="7">
        <v>11.1</v>
      </c>
      <c r="N16" s="6">
        <v>6790497</v>
      </c>
      <c r="O16" s="11">
        <v>79.099999999999994</v>
      </c>
      <c r="P16" s="7">
        <v>20.900000000000006</v>
      </c>
      <c r="Q16" s="11">
        <v>23.3</v>
      </c>
    </row>
    <row r="17" spans="1:17">
      <c r="A17" s="2" t="s">
        <v>35</v>
      </c>
      <c r="B17" s="2" t="s">
        <v>36</v>
      </c>
      <c r="C17" s="2">
        <v>19</v>
      </c>
      <c r="D17" s="1" t="s">
        <v>32</v>
      </c>
      <c r="E17" s="7">
        <v>189.4</v>
      </c>
      <c r="F17" s="7">
        <v>66</v>
      </c>
      <c r="G17" s="4">
        <v>310564</v>
      </c>
      <c r="H17" s="8">
        <v>5.3</v>
      </c>
      <c r="I17" s="3">
        <v>272327</v>
      </c>
      <c r="J17" s="17">
        <v>38228087</v>
      </c>
      <c r="K17" s="17">
        <v>35124.5</v>
      </c>
      <c r="L17" s="7">
        <v>36.5</v>
      </c>
      <c r="M17" s="7">
        <v>9.3000000000000007</v>
      </c>
      <c r="N17" s="6">
        <v>3191141</v>
      </c>
      <c r="O17" s="11">
        <v>85.7</v>
      </c>
      <c r="P17" s="7">
        <v>14.299999999999997</v>
      </c>
      <c r="Q17" s="11">
        <v>23</v>
      </c>
    </row>
    <row r="18" spans="1:17">
      <c r="A18" s="2" t="s">
        <v>37</v>
      </c>
      <c r="B18" s="2" t="s">
        <v>38</v>
      </c>
      <c r="C18" s="2">
        <v>20</v>
      </c>
      <c r="D18" s="1" t="s">
        <v>32</v>
      </c>
      <c r="E18" s="7">
        <v>185.9</v>
      </c>
      <c r="F18" s="7">
        <v>65.8</v>
      </c>
      <c r="G18" s="4">
        <v>200443</v>
      </c>
      <c r="H18" s="8">
        <v>5.9</v>
      </c>
      <c r="I18" s="3">
        <v>234247</v>
      </c>
      <c r="J18" s="17">
        <v>30884936</v>
      </c>
      <c r="K18" s="17">
        <v>41396.25</v>
      </c>
      <c r="L18" s="7">
        <v>35.299999999999997</v>
      </c>
      <c r="M18" s="7">
        <v>9.3000000000000007</v>
      </c>
      <c r="N18" s="6">
        <v>2938172</v>
      </c>
      <c r="O18" s="11">
        <v>75.900000000000006</v>
      </c>
      <c r="P18" s="7">
        <v>24.099999999999994</v>
      </c>
      <c r="Q18" s="11">
        <v>24</v>
      </c>
    </row>
    <row r="19" spans="1:17">
      <c r="A19" s="2" t="s">
        <v>39</v>
      </c>
      <c r="B19" s="2" t="s">
        <v>40</v>
      </c>
      <c r="C19" s="2">
        <v>21</v>
      </c>
      <c r="D19" s="1" t="s">
        <v>5</v>
      </c>
      <c r="E19" s="7">
        <v>187.9</v>
      </c>
      <c r="F19" s="7">
        <v>65.7</v>
      </c>
      <c r="G19" s="4">
        <v>555425</v>
      </c>
      <c r="H19" s="8">
        <v>6.6</v>
      </c>
      <c r="I19" s="3">
        <v>352615</v>
      </c>
      <c r="J19" s="17">
        <v>46597886</v>
      </c>
      <c r="K19" s="17">
        <v>72664</v>
      </c>
      <c r="L19" s="7">
        <v>36.6</v>
      </c>
      <c r="M19" s="7">
        <v>13.8</v>
      </c>
      <c r="N19" s="6">
        <v>4508318</v>
      </c>
      <c r="O19" s="11">
        <v>84.6</v>
      </c>
      <c r="P19" s="7">
        <v>15.400000000000006</v>
      </c>
      <c r="Q19" s="11">
        <v>22.4</v>
      </c>
    </row>
    <row r="20" spans="1:17">
      <c r="A20" s="2" t="s">
        <v>41</v>
      </c>
      <c r="B20" s="2" t="s">
        <v>42</v>
      </c>
      <c r="C20" s="2">
        <v>22</v>
      </c>
      <c r="D20" s="1" t="s">
        <v>5</v>
      </c>
      <c r="E20" s="7">
        <v>185.5</v>
      </c>
      <c r="F20" s="7">
        <v>65.3</v>
      </c>
      <c r="G20" s="4">
        <v>830750</v>
      </c>
      <c r="H20" s="8">
        <v>8.3000000000000007</v>
      </c>
      <c r="I20" s="3">
        <v>383481</v>
      </c>
      <c r="J20" s="17">
        <v>51741667</v>
      </c>
      <c r="K20" s="17">
        <v>88531</v>
      </c>
      <c r="L20" s="7">
        <v>38.1</v>
      </c>
      <c r="M20" s="7">
        <v>16.7</v>
      </c>
      <c r="N20" s="6">
        <v>4652301</v>
      </c>
      <c r="O20" s="11">
        <v>58.7</v>
      </c>
      <c r="P20" s="7">
        <v>41.3</v>
      </c>
      <c r="Q20" s="11">
        <v>23.4</v>
      </c>
    </row>
    <row r="21" spans="1:17">
      <c r="A21" s="2" t="s">
        <v>43</v>
      </c>
      <c r="B21" s="2" t="s">
        <v>44</v>
      </c>
      <c r="C21" s="2">
        <v>23</v>
      </c>
      <c r="D21" s="1" t="s">
        <v>19</v>
      </c>
      <c r="E21" s="7">
        <v>178</v>
      </c>
      <c r="F21" s="7">
        <v>65.099999999999994</v>
      </c>
      <c r="G21" s="4">
        <v>159995</v>
      </c>
      <c r="H21" s="8">
        <v>5.4</v>
      </c>
      <c r="I21" s="3">
        <v>63690</v>
      </c>
      <c r="J21" s="17">
        <v>8367654</v>
      </c>
      <c r="K21" s="17">
        <v>10441</v>
      </c>
      <c r="L21" s="7">
        <v>31</v>
      </c>
      <c r="M21" s="7">
        <v>9.1999999999999993</v>
      </c>
      <c r="N21" s="6">
        <v>1364571</v>
      </c>
      <c r="O21" s="11">
        <v>93.2</v>
      </c>
      <c r="P21" s="7">
        <v>6.7999999999999972</v>
      </c>
      <c r="Q21" s="11">
        <v>18.5</v>
      </c>
    </row>
    <row r="22" spans="1:17">
      <c r="A22" s="2" t="s">
        <v>45</v>
      </c>
      <c r="B22" s="2" t="s">
        <v>46</v>
      </c>
      <c r="C22" s="2">
        <v>24</v>
      </c>
      <c r="D22" s="1" t="s">
        <v>5</v>
      </c>
      <c r="E22" s="7">
        <v>181.3</v>
      </c>
      <c r="F22" s="7">
        <v>65.400000000000006</v>
      </c>
      <c r="G22" s="4">
        <v>700979</v>
      </c>
      <c r="H22" s="8">
        <v>6.8</v>
      </c>
      <c r="I22" s="3">
        <v>298113</v>
      </c>
      <c r="J22" s="17">
        <v>42628029</v>
      </c>
      <c r="K22" s="17">
        <v>102243</v>
      </c>
      <c r="L22" s="7">
        <v>31</v>
      </c>
      <c r="M22" s="7">
        <v>8.1</v>
      </c>
      <c r="N22" s="6">
        <v>6177935</v>
      </c>
      <c r="O22" s="11">
        <v>50.9</v>
      </c>
      <c r="P22" s="7">
        <v>49.1</v>
      </c>
      <c r="Q22" s="11">
        <v>22.1</v>
      </c>
    </row>
    <row r="23" spans="1:17">
      <c r="A23" s="2" t="s">
        <v>47</v>
      </c>
      <c r="B23" s="2" t="s">
        <v>48</v>
      </c>
      <c r="C23" s="2">
        <v>25</v>
      </c>
      <c r="D23" s="1" t="s">
        <v>19</v>
      </c>
      <c r="E23" s="7">
        <v>173.4</v>
      </c>
      <c r="F23" s="7">
        <v>65.3</v>
      </c>
      <c r="G23" s="4">
        <v>821254</v>
      </c>
      <c r="H23" s="8">
        <v>8.9</v>
      </c>
      <c r="I23" s="3">
        <v>387014</v>
      </c>
      <c r="J23" s="17">
        <v>51900463</v>
      </c>
      <c r="K23" s="17">
        <v>60769.5</v>
      </c>
      <c r="L23" s="7">
        <v>24.4</v>
      </c>
      <c r="M23" s="7">
        <v>8</v>
      </c>
      <c r="N23" s="6">
        <v>6994598</v>
      </c>
      <c r="O23" s="11">
        <v>71.599999999999994</v>
      </c>
      <c r="P23" s="7">
        <v>28.400000000000006</v>
      </c>
      <c r="Q23" s="11">
        <v>19.600000000000001</v>
      </c>
    </row>
    <row r="24" spans="1:17">
      <c r="A24" s="2" t="s">
        <v>49</v>
      </c>
      <c r="B24" s="2" t="s">
        <v>50</v>
      </c>
      <c r="C24" s="2">
        <v>26</v>
      </c>
      <c r="D24" s="1" t="s">
        <v>32</v>
      </c>
      <c r="E24" s="7">
        <v>183.5</v>
      </c>
      <c r="F24" s="7">
        <v>65.400000000000006</v>
      </c>
      <c r="G24" s="4">
        <v>1254475</v>
      </c>
      <c r="H24" s="8">
        <v>9.9</v>
      </c>
      <c r="I24" s="3">
        <v>547282</v>
      </c>
      <c r="J24" s="17">
        <v>73825069</v>
      </c>
      <c r="K24" s="17">
        <v>58243.5</v>
      </c>
      <c r="L24" s="7">
        <v>35.200000000000003</v>
      </c>
      <c r="M24" s="7">
        <v>10.6</v>
      </c>
      <c r="N24" s="6">
        <v>10072703</v>
      </c>
      <c r="O24" s="11">
        <v>75</v>
      </c>
      <c r="P24" s="7">
        <v>25</v>
      </c>
      <c r="Q24" s="11">
        <v>21.5</v>
      </c>
    </row>
    <row r="25" spans="1:17">
      <c r="A25" s="2" t="s">
        <v>51</v>
      </c>
      <c r="B25" s="2" t="s">
        <v>52</v>
      </c>
      <c r="C25" s="2">
        <v>27</v>
      </c>
      <c r="D25" s="1" t="s">
        <v>32</v>
      </c>
      <c r="E25" s="7">
        <v>184.2</v>
      </c>
      <c r="F25" s="7">
        <v>65.900000000000006</v>
      </c>
      <c r="G25" s="4">
        <v>417376</v>
      </c>
      <c r="H25" s="8">
        <v>6.2</v>
      </c>
      <c r="I25" s="3">
        <v>413539</v>
      </c>
      <c r="J25" s="17">
        <v>56810524</v>
      </c>
      <c r="K25" s="17">
        <v>95880.25</v>
      </c>
      <c r="L25" s="7">
        <v>30.7</v>
      </c>
      <c r="M25" s="7">
        <v>7</v>
      </c>
      <c r="N25" s="6">
        <v>5710735</v>
      </c>
      <c r="O25" s="11">
        <v>79.8</v>
      </c>
      <c r="P25" s="7">
        <v>20.200000000000003</v>
      </c>
      <c r="Q25" s="11">
        <v>23.1</v>
      </c>
    </row>
    <row r="26" spans="1:17">
      <c r="A26" s="2" t="s">
        <v>53</v>
      </c>
      <c r="B26" s="2" t="s">
        <v>54</v>
      </c>
      <c r="C26" s="2">
        <v>28</v>
      </c>
      <c r="D26" s="1" t="s">
        <v>5</v>
      </c>
      <c r="E26" s="7">
        <v>187.7</v>
      </c>
      <c r="F26" s="7">
        <v>65.5</v>
      </c>
      <c r="G26" s="4">
        <v>429568</v>
      </c>
      <c r="H26" s="8">
        <v>8.1</v>
      </c>
      <c r="I26" s="3">
        <v>240501</v>
      </c>
      <c r="J26" s="17">
        <v>32308393</v>
      </c>
      <c r="K26" s="17">
        <v>41234.5</v>
      </c>
      <c r="L26" s="7">
        <v>39.700000000000003</v>
      </c>
      <c r="M26" s="7">
        <v>18.399999999999999</v>
      </c>
      <c r="N26" s="6">
        <v>2958536</v>
      </c>
      <c r="O26" s="11">
        <v>56.6</v>
      </c>
      <c r="P26" s="7">
        <v>43.4</v>
      </c>
      <c r="Q26" s="11">
        <v>23.5</v>
      </c>
    </row>
    <row r="27" spans="1:17">
      <c r="A27" s="2" t="s">
        <v>55</v>
      </c>
      <c r="B27" s="2" t="s">
        <v>56</v>
      </c>
      <c r="C27" s="2">
        <v>29</v>
      </c>
      <c r="D27" s="1" t="s">
        <v>32</v>
      </c>
      <c r="E27" s="7">
        <v>185.9</v>
      </c>
      <c r="F27" s="7">
        <v>65.599999999999994</v>
      </c>
      <c r="G27" s="4">
        <v>715447</v>
      </c>
      <c r="H27" s="8">
        <v>6.1</v>
      </c>
      <c r="I27" s="3">
        <v>451035</v>
      </c>
      <c r="J27" s="17">
        <v>61647238</v>
      </c>
      <c r="K27" s="17">
        <v>92927</v>
      </c>
      <c r="L27" s="7">
        <v>34</v>
      </c>
      <c r="M27" s="7">
        <v>10</v>
      </c>
      <c r="N27" s="6">
        <v>6154744</v>
      </c>
      <c r="O27" s="11">
        <v>79.400000000000006</v>
      </c>
      <c r="P27" s="7">
        <v>20.599999999999994</v>
      </c>
      <c r="Q27" s="11">
        <v>22.3</v>
      </c>
    </row>
    <row r="28" spans="1:17">
      <c r="A28" s="2" t="s">
        <v>57</v>
      </c>
      <c r="B28" s="2" t="s">
        <v>58</v>
      </c>
      <c r="C28" s="2">
        <v>30</v>
      </c>
      <c r="D28" s="1" t="s">
        <v>8</v>
      </c>
      <c r="E28" s="7">
        <v>182.7</v>
      </c>
      <c r="F28" s="7">
        <v>66</v>
      </c>
      <c r="G28" s="4">
        <v>104391</v>
      </c>
      <c r="H28" s="8">
        <v>5.9</v>
      </c>
      <c r="I28" s="3">
        <v>55914</v>
      </c>
      <c r="J28" s="17">
        <v>8134581</v>
      </c>
      <c r="K28" s="17">
        <v>10295.5</v>
      </c>
      <c r="L28" s="7">
        <v>28.5</v>
      </c>
      <c r="M28" s="7">
        <v>10.3</v>
      </c>
      <c r="N28" s="6">
        <v>1087230</v>
      </c>
      <c r="O28" s="11">
        <v>86.1</v>
      </c>
      <c r="P28" s="7">
        <v>13.900000000000006</v>
      </c>
      <c r="Q28" s="11">
        <v>21.4</v>
      </c>
    </row>
    <row r="29" spans="1:17">
      <c r="A29" s="2" t="s">
        <v>59</v>
      </c>
      <c r="B29" s="2" t="s">
        <v>60</v>
      </c>
      <c r="C29" s="2">
        <v>31</v>
      </c>
      <c r="D29" s="1" t="s">
        <v>32</v>
      </c>
      <c r="E29" s="7">
        <v>186.3</v>
      </c>
      <c r="F29" s="7">
        <v>65.900000000000006</v>
      </c>
      <c r="G29" s="4">
        <v>157091</v>
      </c>
      <c r="H29" s="8">
        <v>4.2</v>
      </c>
      <c r="I29" s="3">
        <v>168727</v>
      </c>
      <c r="J29" s="17">
        <v>23600376</v>
      </c>
      <c r="K29" s="17">
        <v>31569.5</v>
      </c>
      <c r="L29" s="7">
        <v>34</v>
      </c>
      <c r="M29" s="7">
        <v>8.5</v>
      </c>
      <c r="N29" s="6">
        <v>1963387</v>
      </c>
      <c r="O29" s="11">
        <v>79</v>
      </c>
      <c r="P29" s="7">
        <v>21</v>
      </c>
      <c r="Q29" s="11">
        <v>24.6</v>
      </c>
    </row>
    <row r="30" spans="1:17">
      <c r="A30" s="2" t="s">
        <v>61</v>
      </c>
      <c r="B30" s="2" t="s">
        <v>62</v>
      </c>
      <c r="C30" s="2">
        <v>32</v>
      </c>
      <c r="D30" s="1" t="s">
        <v>8</v>
      </c>
      <c r="E30" s="7">
        <v>180.9</v>
      </c>
      <c r="F30" s="7">
        <v>65.900000000000006</v>
      </c>
      <c r="G30" s="4">
        <v>448688</v>
      </c>
      <c r="H30" s="8">
        <v>12.8</v>
      </c>
      <c r="I30" s="3">
        <v>155366</v>
      </c>
      <c r="J30" s="17">
        <v>23742045</v>
      </c>
      <c r="K30" s="17">
        <v>14962.25</v>
      </c>
      <c r="L30" s="7">
        <v>28.7</v>
      </c>
      <c r="M30" s="7">
        <v>11.7</v>
      </c>
      <c r="N30" s="6">
        <v>3116967</v>
      </c>
      <c r="O30" s="11">
        <v>49.2</v>
      </c>
      <c r="P30" s="7">
        <v>50.8</v>
      </c>
      <c r="Q30" s="11">
        <v>22.5</v>
      </c>
    </row>
    <row r="31" spans="1:17">
      <c r="A31" s="2" t="s">
        <v>63</v>
      </c>
      <c r="B31" s="2" t="s">
        <v>64</v>
      </c>
      <c r="C31" s="2">
        <v>33</v>
      </c>
      <c r="D31" s="1" t="s">
        <v>19</v>
      </c>
      <c r="E31" s="7">
        <v>178.2</v>
      </c>
      <c r="F31" s="7">
        <v>65.3</v>
      </c>
      <c r="G31" s="4">
        <v>72505</v>
      </c>
      <c r="H31" s="8">
        <v>6.7</v>
      </c>
      <c r="I31" s="3">
        <v>64148</v>
      </c>
      <c r="J31" s="17">
        <v>9292473</v>
      </c>
      <c r="K31" s="17">
        <v>7117</v>
      </c>
      <c r="L31" s="7">
        <v>29.9</v>
      </c>
      <c r="M31" s="7">
        <v>4.9000000000000004</v>
      </c>
      <c r="N31" s="6">
        <v>1378756</v>
      </c>
      <c r="O31" s="11">
        <v>90.1</v>
      </c>
      <c r="P31" s="7">
        <v>9.9000000000000057</v>
      </c>
      <c r="Q31" s="11">
        <v>18.8</v>
      </c>
    </row>
    <row r="32" spans="1:17">
      <c r="A32" s="2" t="s">
        <v>65</v>
      </c>
      <c r="B32" s="2" t="s">
        <v>66</v>
      </c>
      <c r="C32" s="2">
        <v>34</v>
      </c>
      <c r="D32" s="1" t="s">
        <v>19</v>
      </c>
      <c r="E32" s="7">
        <v>176.8</v>
      </c>
      <c r="F32" s="7">
        <v>65.400000000000006</v>
      </c>
      <c r="G32" s="4">
        <v>700538</v>
      </c>
      <c r="H32" s="8">
        <v>9.8000000000000007</v>
      </c>
      <c r="I32" s="3">
        <v>547592</v>
      </c>
      <c r="J32" s="17">
        <v>84743601</v>
      </c>
      <c r="K32" s="17">
        <v>74687.25</v>
      </c>
      <c r="L32" s="7">
        <v>27.7</v>
      </c>
      <c r="M32" s="7">
        <v>7.2</v>
      </c>
      <c r="N32" s="6">
        <v>9272794</v>
      </c>
      <c r="O32" s="11">
        <v>55.4</v>
      </c>
      <c r="P32" s="7">
        <v>44.6</v>
      </c>
      <c r="Q32" s="11">
        <v>21.8</v>
      </c>
    </row>
    <row r="33" spans="1:17">
      <c r="A33" s="2" t="s">
        <v>67</v>
      </c>
      <c r="B33" s="2" t="s">
        <v>68</v>
      </c>
      <c r="C33" s="2">
        <v>35</v>
      </c>
      <c r="D33" s="1" t="s">
        <v>8</v>
      </c>
      <c r="E33" s="7">
        <v>174.3</v>
      </c>
      <c r="F33" s="7">
        <v>65</v>
      </c>
      <c r="G33" s="4">
        <v>468745</v>
      </c>
      <c r="H33" s="8">
        <v>8.4</v>
      </c>
      <c r="I33" s="3">
        <v>178757</v>
      </c>
      <c r="J33" s="17">
        <v>25813380</v>
      </c>
      <c r="K33" s="17">
        <v>28141.5</v>
      </c>
      <c r="L33" s="7">
        <v>30.9</v>
      </c>
      <c r="M33" s="7">
        <v>15.9</v>
      </c>
      <c r="N33" s="6">
        <v>2118606</v>
      </c>
      <c r="O33" s="11">
        <v>37.4</v>
      </c>
      <c r="P33" s="7">
        <v>62.6</v>
      </c>
      <c r="Q33" s="11">
        <v>22.7</v>
      </c>
    </row>
    <row r="34" spans="1:17">
      <c r="A34" s="2" t="s">
        <v>69</v>
      </c>
      <c r="B34" s="2" t="s">
        <v>70</v>
      </c>
      <c r="C34" s="2">
        <v>36</v>
      </c>
      <c r="D34" s="1" t="s">
        <v>19</v>
      </c>
      <c r="E34" s="7">
        <v>175.2</v>
      </c>
      <c r="F34" s="7">
        <v>65.3</v>
      </c>
      <c r="G34" s="4">
        <v>2658439</v>
      </c>
      <c r="H34" s="8">
        <v>10</v>
      </c>
      <c r="I34" s="3">
        <v>1261350</v>
      </c>
      <c r="J34" s="17">
        <v>180163049</v>
      </c>
      <c r="K34" s="17">
        <v>197407</v>
      </c>
      <c r="L34" s="7">
        <v>26.3</v>
      </c>
      <c r="M34" s="7">
        <v>12.1</v>
      </c>
      <c r="N34" s="6">
        <v>20105171</v>
      </c>
      <c r="O34" s="11">
        <v>55.6</v>
      </c>
      <c r="P34" s="7">
        <v>44.4</v>
      </c>
      <c r="Q34" s="11">
        <v>20.7</v>
      </c>
    </row>
    <row r="35" spans="1:17">
      <c r="A35" s="2" t="s">
        <v>71</v>
      </c>
      <c r="B35" s="2" t="s">
        <v>72</v>
      </c>
      <c r="C35" s="2">
        <v>37</v>
      </c>
      <c r="D35" s="1" t="s">
        <v>5</v>
      </c>
      <c r="E35" s="7">
        <v>182.8</v>
      </c>
      <c r="F35" s="7">
        <v>65.599999999999994</v>
      </c>
      <c r="G35" s="4">
        <v>1317566</v>
      </c>
      <c r="H35" s="8">
        <v>7.3</v>
      </c>
      <c r="I35" s="3">
        <v>561631</v>
      </c>
      <c r="J35" s="17">
        <v>78693518</v>
      </c>
      <c r="K35" s="17">
        <v>105619</v>
      </c>
      <c r="L35" s="7">
        <v>33.6</v>
      </c>
      <c r="M35" s="7">
        <v>13.2</v>
      </c>
      <c r="N35" s="6">
        <v>10449652</v>
      </c>
      <c r="O35" s="11">
        <v>63.1</v>
      </c>
      <c r="P35" s="7">
        <v>36.9</v>
      </c>
      <c r="Q35" s="11">
        <v>21.9</v>
      </c>
    </row>
    <row r="36" spans="1:17">
      <c r="A36" s="2" t="s">
        <v>73</v>
      </c>
      <c r="B36" s="2" t="s">
        <v>74</v>
      </c>
      <c r="C36" s="2">
        <v>38</v>
      </c>
      <c r="D36" s="1" t="s">
        <v>32</v>
      </c>
      <c r="E36" s="7">
        <v>185.8</v>
      </c>
      <c r="F36" s="7">
        <v>65.7</v>
      </c>
      <c r="G36" s="4">
        <v>46092</v>
      </c>
      <c r="H36" s="8">
        <v>5.0999999999999996</v>
      </c>
      <c r="I36" s="3">
        <v>63571</v>
      </c>
      <c r="J36" s="17">
        <v>8961219</v>
      </c>
      <c r="K36" s="17">
        <v>13419.75</v>
      </c>
      <c r="L36" s="7">
        <v>33.1</v>
      </c>
      <c r="M36" s="7">
        <v>9.4</v>
      </c>
      <c r="N36" s="6">
        <v>779563</v>
      </c>
      <c r="O36" s="11">
        <v>84.4</v>
      </c>
      <c r="P36" s="7">
        <v>15.599999999999994</v>
      </c>
      <c r="Q36" s="11">
        <v>23.6</v>
      </c>
    </row>
    <row r="37" spans="1:17">
      <c r="A37" s="2" t="s">
        <v>75</v>
      </c>
      <c r="B37" s="2" t="s">
        <v>76</v>
      </c>
      <c r="C37" s="2">
        <v>39</v>
      </c>
      <c r="D37" s="1" t="s">
        <v>32</v>
      </c>
      <c r="E37" s="7">
        <v>187.2</v>
      </c>
      <c r="F37" s="7">
        <v>65.5</v>
      </c>
      <c r="G37" s="4">
        <v>1396860</v>
      </c>
      <c r="H37" s="8">
        <v>8.1</v>
      </c>
      <c r="I37" s="3">
        <v>792058</v>
      </c>
      <c r="J37" s="17">
        <v>112617832</v>
      </c>
      <c r="K37" s="17">
        <v>94486.25</v>
      </c>
      <c r="L37" s="7">
        <v>35.5</v>
      </c>
      <c r="M37" s="7">
        <v>12.5</v>
      </c>
      <c r="N37" s="6">
        <v>11798905</v>
      </c>
      <c r="O37" s="11">
        <v>78.900000000000006</v>
      </c>
      <c r="P37" s="7">
        <v>21.099999999999994</v>
      </c>
      <c r="Q37" s="11">
        <v>22.1</v>
      </c>
    </row>
    <row r="38" spans="1:17">
      <c r="A38" s="2" t="s">
        <v>77</v>
      </c>
      <c r="B38" s="2" t="s">
        <v>78</v>
      </c>
      <c r="C38" s="2">
        <v>40</v>
      </c>
      <c r="D38" s="1" t="s">
        <v>5</v>
      </c>
      <c r="E38" s="7">
        <v>185.6</v>
      </c>
      <c r="F38" s="7">
        <v>65.5</v>
      </c>
      <c r="G38" s="4">
        <v>596705</v>
      </c>
      <c r="H38" s="8">
        <v>6.1</v>
      </c>
      <c r="I38" s="3">
        <v>361303</v>
      </c>
      <c r="J38" s="17">
        <v>49503979</v>
      </c>
      <c r="K38" s="17">
        <v>62443.5</v>
      </c>
      <c r="L38" s="7">
        <v>36.4</v>
      </c>
      <c r="M38" s="7">
        <v>13.2</v>
      </c>
      <c r="N38" s="6">
        <v>3965415</v>
      </c>
      <c r="O38" s="11">
        <v>65.599999999999994</v>
      </c>
      <c r="P38" s="7">
        <v>34.400000000000006</v>
      </c>
      <c r="Q38" s="11">
        <v>24.1</v>
      </c>
    </row>
    <row r="39" spans="1:17">
      <c r="A39" s="2" t="s">
        <v>79</v>
      </c>
      <c r="B39" s="2" t="s">
        <v>80</v>
      </c>
      <c r="C39" s="2">
        <v>41</v>
      </c>
      <c r="D39" s="1" t="s">
        <v>8</v>
      </c>
      <c r="E39" s="7">
        <v>180.7</v>
      </c>
      <c r="F39" s="7">
        <v>65.900000000000006</v>
      </c>
      <c r="G39" s="4">
        <v>635485</v>
      </c>
      <c r="H39" s="8">
        <v>7.6</v>
      </c>
      <c r="I39" s="3">
        <v>198754</v>
      </c>
      <c r="J39" s="17">
        <v>27621173</v>
      </c>
      <c r="K39" s="17">
        <v>37588</v>
      </c>
      <c r="L39" s="7">
        <v>28</v>
      </c>
      <c r="M39" s="7">
        <v>8.8000000000000007</v>
      </c>
      <c r="N39" s="6">
        <v>4243779</v>
      </c>
      <c r="O39" s="11">
        <v>75.7</v>
      </c>
      <c r="P39" s="7">
        <v>24.299999999999997</v>
      </c>
      <c r="Q39" s="11">
        <v>20.5</v>
      </c>
    </row>
    <row r="40" spans="1:17">
      <c r="A40" s="2" t="s">
        <v>81</v>
      </c>
      <c r="B40" s="2" t="s">
        <v>82</v>
      </c>
      <c r="C40" s="2">
        <v>42</v>
      </c>
      <c r="D40" s="1" t="s">
        <v>19</v>
      </c>
      <c r="E40" s="7">
        <v>183.7</v>
      </c>
      <c r="F40" s="7">
        <v>65.599999999999994</v>
      </c>
      <c r="G40" s="4">
        <v>1794613</v>
      </c>
      <c r="H40" s="8">
        <v>9.1</v>
      </c>
      <c r="I40" s="3">
        <v>801745</v>
      </c>
      <c r="J40" s="17">
        <v>118486032</v>
      </c>
      <c r="K40" s="17">
        <v>111441.75</v>
      </c>
      <c r="L40" s="7">
        <v>31.5</v>
      </c>
      <c r="M40" s="7">
        <v>9.6999999999999993</v>
      </c>
      <c r="N40" s="6">
        <v>12996143</v>
      </c>
      <c r="O40" s="11">
        <v>76.400000000000006</v>
      </c>
      <c r="P40" s="7">
        <v>23.599999999999994</v>
      </c>
      <c r="Q40" s="11">
        <v>20.6</v>
      </c>
    </row>
    <row r="41" spans="1:17">
      <c r="A41" s="2" t="s">
        <v>83</v>
      </c>
      <c r="B41" s="2" t="s">
        <v>84</v>
      </c>
      <c r="C41" s="2">
        <v>44</v>
      </c>
      <c r="D41" s="1" t="s">
        <v>19</v>
      </c>
      <c r="E41" s="7">
        <v>175.3</v>
      </c>
      <c r="F41" s="7">
        <v>65</v>
      </c>
      <c r="G41" s="4">
        <v>146183</v>
      </c>
      <c r="H41" s="8">
        <v>9.4</v>
      </c>
      <c r="I41" s="3">
        <v>51803</v>
      </c>
      <c r="J41" s="17">
        <v>7180086</v>
      </c>
      <c r="K41" s="17">
        <v>11334</v>
      </c>
      <c r="L41" s="7">
        <v>30.1</v>
      </c>
      <c r="M41" s="7">
        <v>8.8000000000000007</v>
      </c>
      <c r="N41" s="6">
        <v>1096530</v>
      </c>
      <c r="O41" s="11">
        <v>72</v>
      </c>
      <c r="P41" s="7">
        <v>28</v>
      </c>
      <c r="Q41" s="11">
        <v>19.3</v>
      </c>
    </row>
    <row r="42" spans="1:17">
      <c r="A42" s="2" t="s">
        <v>85</v>
      </c>
      <c r="B42" s="2" t="s">
        <v>86</v>
      </c>
      <c r="C42" s="2">
        <v>45</v>
      </c>
      <c r="D42" s="1" t="s">
        <v>5</v>
      </c>
      <c r="E42" s="7">
        <v>184.1</v>
      </c>
      <c r="F42" s="7">
        <v>65.5</v>
      </c>
      <c r="G42" s="4">
        <v>596161</v>
      </c>
      <c r="H42" s="8">
        <v>6.2</v>
      </c>
      <c r="I42" s="3">
        <v>385536</v>
      </c>
      <c r="J42" s="17">
        <v>58391505</v>
      </c>
      <c r="K42" s="17">
        <v>37732</v>
      </c>
      <c r="L42" s="7">
        <v>36.200000000000003</v>
      </c>
      <c r="M42" s="7">
        <v>14.2</v>
      </c>
      <c r="N42" s="6">
        <v>5132249</v>
      </c>
      <c r="O42" s="11">
        <v>63.7</v>
      </c>
      <c r="P42" s="7">
        <v>36.299999999999997</v>
      </c>
      <c r="Q42" s="11">
        <v>21.6</v>
      </c>
    </row>
    <row r="43" spans="1:17">
      <c r="A43" s="2" t="s">
        <v>87</v>
      </c>
      <c r="B43" s="2" t="s">
        <v>88</v>
      </c>
      <c r="C43" s="2">
        <v>46</v>
      </c>
      <c r="D43" s="1" t="s">
        <v>32</v>
      </c>
      <c r="E43" s="7">
        <v>186.3</v>
      </c>
      <c r="F43" s="7">
        <v>65.8</v>
      </c>
      <c r="G43" s="4">
        <v>78245</v>
      </c>
      <c r="H43" s="8">
        <v>4.5999999999999996</v>
      </c>
      <c r="I43" s="3">
        <v>92844</v>
      </c>
      <c r="J43" s="17">
        <v>13715705</v>
      </c>
      <c r="K43" s="17">
        <v>11751</v>
      </c>
      <c r="L43" s="7">
        <v>33.200000000000003</v>
      </c>
      <c r="M43" s="7">
        <v>11.1</v>
      </c>
      <c r="N43" s="6">
        <v>887948</v>
      </c>
      <c r="O43" s="11">
        <v>82</v>
      </c>
      <c r="P43" s="7">
        <v>18</v>
      </c>
      <c r="Q43" s="11">
        <v>24.5</v>
      </c>
    </row>
    <row r="44" spans="1:17">
      <c r="A44" s="2" t="s">
        <v>89</v>
      </c>
      <c r="B44" s="2" t="s">
        <v>90</v>
      </c>
      <c r="C44" s="2">
        <v>47</v>
      </c>
      <c r="D44" s="1" t="s">
        <v>5</v>
      </c>
      <c r="E44" s="7">
        <v>186.4</v>
      </c>
      <c r="F44" s="7">
        <v>65.599999999999994</v>
      </c>
      <c r="G44" s="4">
        <v>868936</v>
      </c>
      <c r="H44" s="8">
        <v>7.5</v>
      </c>
      <c r="I44" s="3">
        <v>630481</v>
      </c>
      <c r="J44" s="17">
        <v>79479553</v>
      </c>
      <c r="K44" s="17">
        <v>68927.5</v>
      </c>
      <c r="L44" s="7">
        <v>35.6</v>
      </c>
      <c r="M44" s="7">
        <v>13.1</v>
      </c>
      <c r="N44" s="6">
        <v>6927904</v>
      </c>
      <c r="O44" s="11">
        <v>73.8</v>
      </c>
      <c r="P44" s="7">
        <v>26.200000000000003</v>
      </c>
      <c r="Q44" s="11">
        <v>22.1</v>
      </c>
    </row>
    <row r="45" spans="1:17">
      <c r="A45" s="2" t="s">
        <v>91</v>
      </c>
      <c r="B45" s="2" t="s">
        <v>92</v>
      </c>
      <c r="C45" s="2">
        <v>48</v>
      </c>
      <c r="D45" s="1" t="s">
        <v>5</v>
      </c>
      <c r="E45" s="7">
        <v>183.3</v>
      </c>
      <c r="F45" s="7">
        <v>65.3</v>
      </c>
      <c r="G45" s="4">
        <v>3551011</v>
      </c>
      <c r="H45" s="8">
        <v>7.6</v>
      </c>
      <c r="I45" s="3">
        <v>2690158</v>
      </c>
      <c r="J45" s="17">
        <v>386823847</v>
      </c>
      <c r="K45" s="17">
        <v>873917.25</v>
      </c>
      <c r="L45" s="7">
        <v>35.799999999999997</v>
      </c>
      <c r="M45" s="7">
        <v>12.5</v>
      </c>
      <c r="N45" s="6">
        <v>29239570</v>
      </c>
      <c r="O45" s="11">
        <v>42</v>
      </c>
      <c r="P45" s="7">
        <v>58</v>
      </c>
      <c r="Q45" s="11">
        <v>25.5</v>
      </c>
    </row>
    <row r="46" spans="1:17">
      <c r="A46" s="2" t="s">
        <v>93</v>
      </c>
      <c r="B46" s="2" t="s">
        <v>94</v>
      </c>
      <c r="C46" s="2">
        <v>49</v>
      </c>
      <c r="D46" s="1" t="s">
        <v>8</v>
      </c>
      <c r="E46" s="7">
        <v>182</v>
      </c>
      <c r="F46" s="7">
        <v>66</v>
      </c>
      <c r="G46" s="4">
        <v>164041</v>
      </c>
      <c r="H46" s="8">
        <v>4.7</v>
      </c>
      <c r="I46" s="3">
        <v>310019</v>
      </c>
      <c r="J46" s="17">
        <v>46507198</v>
      </c>
      <c r="K46" s="17">
        <v>29211</v>
      </c>
      <c r="L46" s="7">
        <v>28.6</v>
      </c>
      <c r="M46" s="7">
        <v>7.4</v>
      </c>
      <c r="N46" s="6">
        <v>3284077</v>
      </c>
      <c r="O46" s="11">
        <v>78.3</v>
      </c>
      <c r="P46" s="7">
        <v>21.700000000000003</v>
      </c>
      <c r="Q46" s="11">
        <v>29</v>
      </c>
    </row>
    <row r="47" spans="1:17">
      <c r="A47" s="2" t="s">
        <v>95</v>
      </c>
      <c r="B47" s="2" t="s">
        <v>96</v>
      </c>
      <c r="C47" s="2">
        <v>50</v>
      </c>
      <c r="D47" s="1" t="s">
        <v>19</v>
      </c>
      <c r="E47" s="7">
        <v>176</v>
      </c>
      <c r="F47" s="7">
        <v>65.3</v>
      </c>
      <c r="G47" s="4">
        <v>68568</v>
      </c>
      <c r="H47" s="8">
        <v>5.6</v>
      </c>
      <c r="I47" s="3">
        <v>29600</v>
      </c>
      <c r="J47" s="17">
        <v>4028520</v>
      </c>
      <c r="K47" s="17">
        <v>8663.25</v>
      </c>
      <c r="L47" s="7">
        <v>26.2</v>
      </c>
      <c r="M47" s="7">
        <v>8.6</v>
      </c>
      <c r="N47" s="6">
        <v>642977</v>
      </c>
      <c r="O47" s="11">
        <v>92.8</v>
      </c>
      <c r="P47" s="7">
        <v>7.2000000000000028</v>
      </c>
      <c r="Q47" s="11">
        <v>18.3</v>
      </c>
    </row>
    <row r="48" spans="1:17">
      <c r="A48" s="2" t="s">
        <v>97</v>
      </c>
      <c r="B48" s="2" t="s">
        <v>98</v>
      </c>
      <c r="C48" s="2">
        <v>51</v>
      </c>
      <c r="D48" s="1" t="s">
        <v>5</v>
      </c>
      <c r="E48" s="7">
        <v>182.1</v>
      </c>
      <c r="F48" s="7">
        <v>65.5</v>
      </c>
      <c r="G48" s="4">
        <v>730370</v>
      </c>
      <c r="H48" s="8">
        <v>6.2</v>
      </c>
      <c r="I48" s="3">
        <v>492332</v>
      </c>
      <c r="J48" s="17">
        <v>67788093</v>
      </c>
      <c r="K48" s="17">
        <v>113504.5</v>
      </c>
      <c r="L48" s="7">
        <v>32.200000000000003</v>
      </c>
      <c r="M48" s="7">
        <v>8.3000000000000007</v>
      </c>
      <c r="N48" s="6">
        <v>8637615</v>
      </c>
      <c r="O48" s="11">
        <v>61.8</v>
      </c>
      <c r="P48" s="7">
        <v>38.200000000000003</v>
      </c>
      <c r="Q48" s="11">
        <v>21.8</v>
      </c>
    </row>
    <row r="49" spans="1:17">
      <c r="A49" s="2" t="s">
        <v>99</v>
      </c>
      <c r="B49" s="2" t="s">
        <v>100</v>
      </c>
      <c r="C49" s="2">
        <v>53</v>
      </c>
      <c r="D49" s="1" t="s">
        <v>8</v>
      </c>
      <c r="E49" s="7">
        <v>180.2</v>
      </c>
      <c r="F49" s="7">
        <v>65.599999999999994</v>
      </c>
      <c r="G49" s="4">
        <v>870997</v>
      </c>
      <c r="H49" s="8">
        <v>8.4</v>
      </c>
      <c r="I49" s="3">
        <v>350833</v>
      </c>
      <c r="J49" s="17">
        <v>49065412</v>
      </c>
      <c r="K49" s="17">
        <v>52924.25</v>
      </c>
      <c r="L49" s="7">
        <v>28</v>
      </c>
      <c r="M49" s="7">
        <v>7.6</v>
      </c>
      <c r="N49" s="6">
        <v>7727209</v>
      </c>
      <c r="O49" s="11">
        <v>68.5</v>
      </c>
      <c r="P49" s="7">
        <v>31.5</v>
      </c>
      <c r="Q49" s="11">
        <v>21.8</v>
      </c>
    </row>
    <row r="50" spans="1:17">
      <c r="A50" s="2" t="s">
        <v>101</v>
      </c>
      <c r="B50" s="2" t="s">
        <v>102</v>
      </c>
      <c r="C50" s="2">
        <v>54</v>
      </c>
      <c r="D50" s="1" t="s">
        <v>5</v>
      </c>
      <c r="E50" s="7">
        <v>187.8</v>
      </c>
      <c r="F50" s="7">
        <v>65.400000000000006</v>
      </c>
      <c r="G50" s="4">
        <v>306218</v>
      </c>
      <c r="H50" s="8">
        <v>8.3000000000000007</v>
      </c>
      <c r="I50" s="3">
        <v>135217</v>
      </c>
      <c r="J50" s="17">
        <v>18392803</v>
      </c>
      <c r="K50" s="17">
        <v>19939.5</v>
      </c>
      <c r="L50" s="7">
        <v>39.1</v>
      </c>
      <c r="M50" s="7">
        <v>14</v>
      </c>
      <c r="N50" s="6">
        <v>1791646</v>
      </c>
      <c r="O50" s="11">
        <v>92</v>
      </c>
      <c r="P50" s="7">
        <v>8</v>
      </c>
      <c r="Q50" s="11">
        <v>20.100000000000001</v>
      </c>
    </row>
    <row r="51" spans="1:17">
      <c r="A51" s="2" t="s">
        <v>103</v>
      </c>
      <c r="B51" s="2" t="s">
        <v>104</v>
      </c>
      <c r="C51" s="2">
        <v>55</v>
      </c>
      <c r="D51" s="1" t="s">
        <v>32</v>
      </c>
      <c r="E51" s="7">
        <v>185.6</v>
      </c>
      <c r="F51" s="7">
        <v>65.7</v>
      </c>
      <c r="G51" s="4">
        <v>647376</v>
      </c>
      <c r="H51" s="8">
        <v>6.3</v>
      </c>
      <c r="I51" s="3">
        <v>357387</v>
      </c>
      <c r="J51" s="17">
        <v>54711622</v>
      </c>
      <c r="K51" s="17">
        <v>45391.25</v>
      </c>
      <c r="L51" s="7">
        <v>32.299999999999997</v>
      </c>
      <c r="M51" s="7">
        <v>8.1999999999999993</v>
      </c>
      <c r="N51" s="6">
        <v>5897375</v>
      </c>
      <c r="O51" s="11">
        <v>81.3</v>
      </c>
      <c r="P51" s="7">
        <v>18.700000000000003</v>
      </c>
      <c r="Q51" s="11">
        <v>21.8</v>
      </c>
    </row>
    <row r="52" spans="1:17">
      <c r="A52" s="2" t="s">
        <v>105</v>
      </c>
      <c r="B52" s="2" t="s">
        <v>106</v>
      </c>
      <c r="C52" s="2">
        <v>56</v>
      </c>
      <c r="D52" s="1" t="s">
        <v>8</v>
      </c>
      <c r="E52" s="7">
        <v>179.3</v>
      </c>
      <c r="F52" s="7">
        <v>65.7</v>
      </c>
      <c r="G52" s="4">
        <v>26928</v>
      </c>
      <c r="H52" s="8">
        <v>5.8</v>
      </c>
      <c r="I52" s="3">
        <v>33578</v>
      </c>
      <c r="J52" s="17">
        <v>4786021</v>
      </c>
      <c r="K52" s="17">
        <v>6052</v>
      </c>
      <c r="L52" s="7">
        <v>30.7</v>
      </c>
      <c r="M52" s="7">
        <v>9.5</v>
      </c>
      <c r="N52" s="6">
        <v>577681</v>
      </c>
      <c r="O52" s="11">
        <v>84.1</v>
      </c>
      <c r="P52" s="7">
        <v>15.900000000000006</v>
      </c>
      <c r="Q52" s="11">
        <v>23.1</v>
      </c>
    </row>
    <row r="53" spans="1:17">
      <c r="A53" s="13" t="s">
        <v>111</v>
      </c>
      <c r="B53" s="2" t="s">
        <v>122</v>
      </c>
      <c r="C53" s="12" t="s">
        <v>131</v>
      </c>
      <c r="D53" s="1" t="s">
        <v>131</v>
      </c>
      <c r="E53" s="7">
        <v>181.5</v>
      </c>
      <c r="F53" s="7">
        <v>65.5</v>
      </c>
      <c r="G53" s="4">
        <v>39886786</v>
      </c>
      <c r="H53" s="8">
        <v>8.1</v>
      </c>
      <c r="I53" s="3">
        <v>22454914</v>
      </c>
      <c r="J53" s="4">
        <f>SUM(J2:J52)</f>
        <v>3191696595</v>
      </c>
      <c r="K53" s="4">
        <f>SUM(K2:K52)</f>
        <v>4245243.75</v>
      </c>
      <c r="L53" s="7">
        <v>31.9</v>
      </c>
      <c r="M53" s="7">
        <v>11</v>
      </c>
      <c r="N53" s="6">
        <v>328239523</v>
      </c>
      <c r="O53" s="11">
        <v>68.154901960784329</v>
      </c>
      <c r="P53" s="11">
        <v>31.845098039215685</v>
      </c>
      <c r="Q53" s="11">
        <v>22.139215686274504</v>
      </c>
    </row>
    <row r="54" spans="1:17">
      <c r="J54" s="3"/>
      <c r="K54" s="3"/>
    </row>
    <row r="55" spans="1:17">
      <c r="J55" s="3"/>
      <c r="K5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4700-647E-42CD-9FCD-A78E33A3B658}">
  <dimension ref="A1:T55"/>
  <sheetViews>
    <sheetView topLeftCell="H1" workbookViewId="0">
      <selection activeCell="G55" sqref="G55"/>
    </sheetView>
  </sheetViews>
  <sheetFormatPr baseColWidth="10" defaultColWidth="10.83203125" defaultRowHeight="16"/>
  <cols>
    <col min="1" max="1" width="17.5" style="1" bestFit="1" customWidth="1"/>
    <col min="2" max="2" width="11.33203125" style="1" bestFit="1" customWidth="1"/>
    <col min="3" max="3" width="8.6640625" style="1" bestFit="1" customWidth="1"/>
    <col min="4" max="4" width="13" style="1" bestFit="1" customWidth="1"/>
    <col min="5" max="6" width="10.83203125" style="1"/>
    <col min="7" max="7" width="16.6640625" style="1" bestFit="1" customWidth="1"/>
    <col min="8" max="8" width="18" style="1" bestFit="1" customWidth="1"/>
    <col min="9" max="9" width="10.1640625" style="1" bestFit="1" customWidth="1"/>
    <col min="10" max="10" width="16.6640625" style="1" bestFit="1" customWidth="1"/>
    <col min="11" max="11" width="16.6640625" style="1" customWidth="1"/>
    <col min="12" max="12" width="10" style="1" bestFit="1" customWidth="1"/>
    <col min="13" max="13" width="15" style="1" bestFit="1" customWidth="1"/>
    <col min="14" max="14" width="16.5" style="1" bestFit="1" customWidth="1"/>
    <col min="15" max="15" width="9.83203125" bestFit="1" customWidth="1"/>
    <col min="16" max="16" width="13.33203125" style="1" bestFit="1" customWidth="1"/>
    <col min="17" max="17" width="12" bestFit="1" customWidth="1"/>
    <col min="18" max="18" width="10.83203125" style="1"/>
    <col min="19" max="20" width="10.6640625" customWidth="1"/>
    <col min="21" max="16384" width="10.83203125" style="1"/>
  </cols>
  <sheetData>
    <row r="1" spans="1:17">
      <c r="A1" s="16" t="s">
        <v>0</v>
      </c>
      <c r="B1" s="16" t="s">
        <v>1</v>
      </c>
      <c r="C1" s="16" t="s">
        <v>2</v>
      </c>
      <c r="D1" s="16" t="s">
        <v>158</v>
      </c>
      <c r="E1" s="5" t="s">
        <v>254</v>
      </c>
      <c r="F1" s="5" t="s">
        <v>255</v>
      </c>
      <c r="G1" s="5" t="s">
        <v>170</v>
      </c>
      <c r="H1" s="5" t="s">
        <v>171</v>
      </c>
      <c r="I1" s="5" t="s">
        <v>172</v>
      </c>
      <c r="J1" s="5" t="s">
        <v>173</v>
      </c>
      <c r="K1" s="5" t="s">
        <v>177</v>
      </c>
      <c r="L1" s="5" t="s">
        <v>253</v>
      </c>
      <c r="M1" s="5" t="s">
        <v>174</v>
      </c>
      <c r="N1" s="5" t="s">
        <v>228</v>
      </c>
      <c r="O1" s="10" t="s">
        <v>175</v>
      </c>
      <c r="P1" s="5" t="s">
        <v>252</v>
      </c>
      <c r="Q1" s="10" t="s">
        <v>169</v>
      </c>
    </row>
    <row r="2" spans="1:17">
      <c r="A2" s="2" t="s">
        <v>3</v>
      </c>
      <c r="B2" s="2" t="s">
        <v>4</v>
      </c>
      <c r="C2" s="2">
        <v>1</v>
      </c>
      <c r="D2" s="1" t="s">
        <v>5</v>
      </c>
      <c r="E2" s="7">
        <v>187.5</v>
      </c>
      <c r="F2" s="7">
        <v>67</v>
      </c>
      <c r="G2" s="4">
        <v>756623</v>
      </c>
      <c r="H2" s="22">
        <v>2.5</v>
      </c>
      <c r="I2" s="17">
        <v>486672.42</v>
      </c>
      <c r="J2" s="17">
        <v>80331876</v>
      </c>
      <c r="K2" s="17">
        <v>50238.5</v>
      </c>
      <c r="L2" s="7">
        <v>39.1</v>
      </c>
      <c r="M2" s="1">
        <v>15.5</v>
      </c>
      <c r="N2" s="6">
        <v>5117673</v>
      </c>
      <c r="O2" s="11">
        <v>64.7</v>
      </c>
      <c r="P2" s="7">
        <v>35.299999999999997</v>
      </c>
      <c r="Q2" s="11">
        <v>22.2</v>
      </c>
    </row>
    <row r="3" spans="1:17">
      <c r="A3" s="2" t="s">
        <v>6</v>
      </c>
      <c r="B3" s="2" t="s">
        <v>7</v>
      </c>
      <c r="C3" s="2">
        <v>2</v>
      </c>
      <c r="D3" s="1" t="s">
        <v>8</v>
      </c>
      <c r="E3" s="7">
        <v>185.6</v>
      </c>
      <c r="F3" s="7">
        <v>67.400000000000006</v>
      </c>
      <c r="G3" s="4">
        <v>50774</v>
      </c>
      <c r="H3" s="22">
        <v>4.2</v>
      </c>
      <c r="I3" s="17">
        <v>43326.501300000004</v>
      </c>
      <c r="J3" s="17">
        <v>6698321</v>
      </c>
      <c r="K3" s="17">
        <v>6191.5</v>
      </c>
      <c r="L3" s="7">
        <v>34.6</v>
      </c>
      <c r="M3" s="1">
        <v>10.199999999999999</v>
      </c>
      <c r="N3" s="6">
        <v>736510</v>
      </c>
      <c r="O3" s="11">
        <v>59.6</v>
      </c>
      <c r="P3" s="7">
        <v>40.4</v>
      </c>
      <c r="Q3" s="11">
        <v>24.6</v>
      </c>
    </row>
    <row r="4" spans="1:17">
      <c r="A4" s="2" t="s">
        <v>9</v>
      </c>
      <c r="B4" s="2" t="s">
        <v>10</v>
      </c>
      <c r="C4" s="2">
        <v>4</v>
      </c>
      <c r="D4" s="1" t="s">
        <v>8</v>
      </c>
      <c r="E4" s="7">
        <v>178.5</v>
      </c>
      <c r="F4" s="7">
        <v>66.900000000000006</v>
      </c>
      <c r="G4" s="4">
        <v>927411</v>
      </c>
      <c r="H4" s="22">
        <v>3.9</v>
      </c>
      <c r="I4" s="17">
        <v>548969.19570000004</v>
      </c>
      <c r="J4" s="17">
        <v>90643576</v>
      </c>
      <c r="K4" s="17">
        <v>51670.5</v>
      </c>
      <c r="L4" s="7">
        <v>30</v>
      </c>
      <c r="M4" s="1">
        <v>12.2</v>
      </c>
      <c r="N4" s="6">
        <v>7473027</v>
      </c>
      <c r="O4" s="11">
        <v>58.3</v>
      </c>
      <c r="P4" s="7">
        <v>41.7</v>
      </c>
      <c r="Q4" s="11">
        <v>22.5</v>
      </c>
    </row>
    <row r="5" spans="1:17">
      <c r="A5" s="2" t="s">
        <v>11</v>
      </c>
      <c r="B5" s="2" t="s">
        <v>12</v>
      </c>
      <c r="C5" s="2">
        <v>5</v>
      </c>
      <c r="D5" s="1" t="s">
        <v>5</v>
      </c>
      <c r="E5" s="7">
        <v>187</v>
      </c>
      <c r="F5" s="7">
        <v>67</v>
      </c>
      <c r="G5" s="4">
        <v>246383</v>
      </c>
      <c r="H5" s="22">
        <v>3.3</v>
      </c>
      <c r="I5" s="17">
        <v>306479.20409999997</v>
      </c>
      <c r="J5" s="17">
        <v>50234499</v>
      </c>
      <c r="K5" s="17">
        <v>54286</v>
      </c>
      <c r="L5" s="7">
        <v>38.299999999999997</v>
      </c>
      <c r="M5" s="1">
        <v>15.5</v>
      </c>
      <c r="N5" s="6">
        <v>3069463</v>
      </c>
      <c r="O5" s="11">
        <v>68.900000000000006</v>
      </c>
      <c r="P5" s="7">
        <v>31.099999999999994</v>
      </c>
      <c r="Q5" s="11">
        <v>23.2</v>
      </c>
    </row>
    <row r="6" spans="1:17">
      <c r="A6" s="2" t="s">
        <v>13</v>
      </c>
      <c r="B6" s="2" t="s">
        <v>14</v>
      </c>
      <c r="C6" s="2">
        <v>6</v>
      </c>
      <c r="D6" s="1" t="s">
        <v>8</v>
      </c>
      <c r="E6" s="7">
        <v>176.6</v>
      </c>
      <c r="F6" s="7">
        <v>67.099999999999994</v>
      </c>
      <c r="G6" s="4">
        <v>5307404</v>
      </c>
      <c r="H6" s="22">
        <v>4.8</v>
      </c>
      <c r="I6" s="17">
        <v>3216241.2801000001</v>
      </c>
      <c r="J6" s="17">
        <v>548150176</v>
      </c>
      <c r="K6" s="17">
        <v>624832.75</v>
      </c>
      <c r="L6" s="7">
        <v>27</v>
      </c>
      <c r="M6" s="1">
        <v>11.6</v>
      </c>
      <c r="N6" s="6">
        <v>39198693</v>
      </c>
      <c r="O6" s="11">
        <v>38.5</v>
      </c>
      <c r="P6" s="7">
        <v>61.5</v>
      </c>
      <c r="Q6" s="11">
        <v>22.5</v>
      </c>
    </row>
    <row r="7" spans="1:17">
      <c r="A7" s="2" t="s">
        <v>15</v>
      </c>
      <c r="B7" s="2" t="s">
        <v>16</v>
      </c>
      <c r="C7" s="2">
        <v>8</v>
      </c>
      <c r="D7" s="1" t="s">
        <v>8</v>
      </c>
      <c r="E7" s="7">
        <v>175.4</v>
      </c>
      <c r="F7" s="7">
        <v>67.400000000000006</v>
      </c>
      <c r="G7" s="4">
        <v>572223</v>
      </c>
      <c r="H7" s="22">
        <v>3.2</v>
      </c>
      <c r="I7" s="17">
        <v>353805.94510000001</v>
      </c>
      <c r="J7" s="17">
        <v>57729033</v>
      </c>
      <c r="K7" s="17">
        <v>34447.5</v>
      </c>
      <c r="L7" s="7">
        <v>25.1</v>
      </c>
      <c r="M7" s="1">
        <v>9.1999999999999993</v>
      </c>
      <c r="N7" s="6">
        <v>5901339</v>
      </c>
      <c r="O7" s="11">
        <v>70.400000000000006</v>
      </c>
      <c r="P7" s="7">
        <v>29.599999999999994</v>
      </c>
      <c r="Q7" s="11">
        <v>21.9</v>
      </c>
    </row>
    <row r="8" spans="1:17">
      <c r="A8" s="2" t="s">
        <v>17</v>
      </c>
      <c r="B8" s="2" t="s">
        <v>18</v>
      </c>
      <c r="C8" s="2">
        <v>9</v>
      </c>
      <c r="D8" s="1" t="s">
        <v>19</v>
      </c>
      <c r="E8" s="7">
        <v>179.3</v>
      </c>
      <c r="F8" s="7">
        <v>67</v>
      </c>
      <c r="G8" s="17">
        <v>393847</v>
      </c>
      <c r="H8" s="22">
        <v>3.8</v>
      </c>
      <c r="I8" s="17">
        <v>311390.9865</v>
      </c>
      <c r="J8" s="17">
        <v>51848011</v>
      </c>
      <c r="K8" s="17">
        <v>21356.5</v>
      </c>
      <c r="L8" s="7">
        <v>29.7</v>
      </c>
      <c r="M8" s="1">
        <v>10.1</v>
      </c>
      <c r="N8" s="6">
        <v>3643023</v>
      </c>
      <c r="O8" s="11">
        <v>64.5</v>
      </c>
      <c r="P8" s="7">
        <v>35.5</v>
      </c>
      <c r="Q8" s="11">
        <v>20.399999999999999</v>
      </c>
    </row>
    <row r="9" spans="1:17">
      <c r="A9" s="2" t="s">
        <v>20</v>
      </c>
      <c r="B9" s="2" t="s">
        <v>21</v>
      </c>
      <c r="C9" s="2">
        <v>10</v>
      </c>
      <c r="D9" s="1" t="s">
        <v>5</v>
      </c>
      <c r="E9" s="7">
        <v>183.3</v>
      </c>
      <c r="F9" s="7">
        <v>66.7</v>
      </c>
      <c r="G9" s="4">
        <v>118512</v>
      </c>
      <c r="H9" s="22">
        <v>4</v>
      </c>
      <c r="I9" s="17">
        <v>91951.3364</v>
      </c>
      <c r="J9" s="17">
        <v>14362895</v>
      </c>
      <c r="K9" s="17">
        <v>39375.5</v>
      </c>
      <c r="L9" s="7">
        <v>35</v>
      </c>
      <c r="M9" s="1">
        <v>10.4</v>
      </c>
      <c r="N9" s="6">
        <v>1036423</v>
      </c>
      <c r="O9" s="11">
        <v>59.3</v>
      </c>
      <c r="P9" s="7">
        <v>40.700000000000003</v>
      </c>
      <c r="Q9" s="11">
        <v>20.9</v>
      </c>
    </row>
    <row r="10" spans="1:17">
      <c r="A10" s="2" t="s">
        <v>107</v>
      </c>
      <c r="B10" s="2" t="s">
        <v>108</v>
      </c>
      <c r="C10" s="2">
        <v>11</v>
      </c>
      <c r="D10" s="1" t="s">
        <v>5</v>
      </c>
      <c r="E10" s="7">
        <v>174.2</v>
      </c>
      <c r="F10" s="7">
        <v>67.099999999999994</v>
      </c>
      <c r="G10" s="4">
        <v>138419</v>
      </c>
      <c r="H10" s="22">
        <v>4.9000000000000004</v>
      </c>
      <c r="I10" s="17">
        <v>48409.804600000003</v>
      </c>
      <c r="J10" s="17">
        <v>7988809</v>
      </c>
      <c r="K10" s="17">
        <v>25212.5</v>
      </c>
      <c r="L10" s="7">
        <v>24.1</v>
      </c>
      <c r="M10" s="1">
        <v>13.3</v>
      </c>
      <c r="N10" s="6">
        <v>687324</v>
      </c>
      <c r="O10" s="11">
        <v>38.799999999999997</v>
      </c>
      <c r="P10" s="7">
        <v>61.2</v>
      </c>
      <c r="Q10" s="11">
        <v>18.2</v>
      </c>
    </row>
    <row r="11" spans="1:17">
      <c r="A11" s="2" t="s">
        <v>22</v>
      </c>
      <c r="B11" s="2" t="s">
        <v>23</v>
      </c>
      <c r="C11" s="2">
        <v>12</v>
      </c>
      <c r="D11" s="1" t="s">
        <v>5</v>
      </c>
      <c r="E11" s="7">
        <v>181.1</v>
      </c>
      <c r="F11" s="7">
        <v>67</v>
      </c>
      <c r="G11" s="4">
        <v>3112411</v>
      </c>
      <c r="H11" s="22">
        <v>2.9</v>
      </c>
      <c r="I11" s="17">
        <v>1702967.5177</v>
      </c>
      <c r="J11" s="17">
        <v>280608314</v>
      </c>
      <c r="K11" s="17">
        <v>294060.5</v>
      </c>
      <c r="L11" s="7">
        <v>31.9</v>
      </c>
      <c r="M11" s="1">
        <v>12.2</v>
      </c>
      <c r="N11" s="6">
        <v>22904868</v>
      </c>
      <c r="O11" s="11">
        <v>55.5</v>
      </c>
      <c r="P11" s="7">
        <v>44.5</v>
      </c>
      <c r="Q11" s="11">
        <v>19.7</v>
      </c>
    </row>
    <row r="12" spans="1:17">
      <c r="A12" s="2" t="s">
        <v>24</v>
      </c>
      <c r="B12" s="2" t="s">
        <v>25</v>
      </c>
      <c r="C12" s="2">
        <v>13</v>
      </c>
      <c r="D12" s="1" t="s">
        <v>5</v>
      </c>
      <c r="E12" s="7">
        <v>182.3</v>
      </c>
      <c r="F12" s="7">
        <v>66.900000000000006</v>
      </c>
      <c r="G12" s="4">
        <v>1433957</v>
      </c>
      <c r="H12" s="22">
        <v>3.2</v>
      </c>
      <c r="I12" s="17">
        <v>1089366.0554</v>
      </c>
      <c r="J12" s="17">
        <v>180741699</v>
      </c>
      <c r="K12" s="17">
        <v>128554.25</v>
      </c>
      <c r="L12" s="7">
        <v>33.9</v>
      </c>
      <c r="M12" s="1">
        <v>13.5</v>
      </c>
      <c r="N12" s="6">
        <v>11064432</v>
      </c>
      <c r="O12" s="11">
        <v>50.3</v>
      </c>
      <c r="P12" s="7">
        <v>49.7</v>
      </c>
      <c r="Q12" s="11">
        <v>23.6</v>
      </c>
    </row>
    <row r="13" spans="1:17">
      <c r="A13" s="2" t="s">
        <v>26</v>
      </c>
      <c r="B13" s="2" t="s">
        <v>27</v>
      </c>
      <c r="C13" s="2">
        <v>15</v>
      </c>
      <c r="D13" s="1" t="s">
        <v>8</v>
      </c>
      <c r="E13" s="7">
        <v>169.4</v>
      </c>
      <c r="F13" s="7">
        <v>66.099999999999994</v>
      </c>
      <c r="G13" s="4">
        <v>172031</v>
      </c>
      <c r="H13" s="22">
        <v>3</v>
      </c>
      <c r="I13" s="17">
        <v>90293.419599999994</v>
      </c>
      <c r="J13" s="17">
        <v>14615532</v>
      </c>
      <c r="K13" s="17">
        <v>8519.5</v>
      </c>
      <c r="L13" s="7">
        <v>25.5</v>
      </c>
      <c r="M13" s="1">
        <v>9.6</v>
      </c>
      <c r="N13" s="6">
        <v>1441387</v>
      </c>
      <c r="O13" s="11">
        <v>21.9</v>
      </c>
      <c r="P13" s="7">
        <v>78.099999999999994</v>
      </c>
      <c r="Q13" s="11">
        <v>21.2</v>
      </c>
    </row>
    <row r="14" spans="1:17">
      <c r="A14" s="2" t="s">
        <v>28</v>
      </c>
      <c r="B14" s="2" t="s">
        <v>29</v>
      </c>
      <c r="C14" s="2">
        <v>16</v>
      </c>
      <c r="D14" s="1" t="s">
        <v>8</v>
      </c>
      <c r="E14" s="7">
        <v>184.9</v>
      </c>
      <c r="F14" s="7">
        <v>67.599999999999994</v>
      </c>
      <c r="G14" s="4">
        <v>125435</v>
      </c>
      <c r="H14" s="22">
        <v>3.1</v>
      </c>
      <c r="I14" s="17">
        <v>133644.3725</v>
      </c>
      <c r="J14" s="17">
        <v>20272821</v>
      </c>
      <c r="K14" s="17">
        <v>9877.5</v>
      </c>
      <c r="L14" s="7">
        <v>31.6</v>
      </c>
      <c r="M14" s="1">
        <v>9.9</v>
      </c>
      <c r="N14" s="6">
        <v>1971122</v>
      </c>
      <c r="O14" s="11">
        <v>81.7</v>
      </c>
      <c r="P14" s="7">
        <v>18.299999999999997</v>
      </c>
      <c r="Q14" s="11">
        <v>25.1</v>
      </c>
    </row>
    <row r="15" spans="1:17">
      <c r="A15" s="2" t="s">
        <v>30</v>
      </c>
      <c r="B15" s="2" t="s">
        <v>31</v>
      </c>
      <c r="C15" s="2">
        <v>17</v>
      </c>
      <c r="D15" s="1" t="s">
        <v>32</v>
      </c>
      <c r="E15" s="7">
        <v>182.6</v>
      </c>
      <c r="F15" s="7">
        <v>67.099999999999994</v>
      </c>
      <c r="G15" s="4">
        <v>1939888</v>
      </c>
      <c r="H15" s="22">
        <v>4.5</v>
      </c>
      <c r="I15" s="17">
        <v>914821.40720000002</v>
      </c>
      <c r="J15" s="17">
        <v>148324610</v>
      </c>
      <c r="K15" s="17">
        <v>123674.5</v>
      </c>
      <c r="L15" s="7">
        <v>32.9</v>
      </c>
      <c r="M15" s="1">
        <v>11.5</v>
      </c>
      <c r="N15" s="6">
        <v>12642259</v>
      </c>
      <c r="O15" s="11">
        <v>60.7</v>
      </c>
      <c r="P15" s="7">
        <v>39.299999999999997</v>
      </c>
      <c r="Q15" s="11">
        <v>22.2</v>
      </c>
    </row>
    <row r="16" spans="1:17">
      <c r="A16" s="2" t="s">
        <v>33</v>
      </c>
      <c r="B16" s="2" t="s">
        <v>34</v>
      </c>
      <c r="C16" s="2">
        <v>18</v>
      </c>
      <c r="D16" s="1" t="s">
        <v>32</v>
      </c>
      <c r="E16" s="7">
        <v>187.7</v>
      </c>
      <c r="F16" s="7">
        <v>67.099999999999994</v>
      </c>
      <c r="G16" s="4">
        <v>613137</v>
      </c>
      <c r="H16" s="22">
        <v>3.3</v>
      </c>
      <c r="I16" s="17">
        <v>710141.67559999996</v>
      </c>
      <c r="J16" s="17">
        <v>116394104</v>
      </c>
      <c r="K16" s="17">
        <v>80871.5</v>
      </c>
      <c r="L16" s="7">
        <v>37.799999999999997</v>
      </c>
      <c r="M16" s="1">
        <v>12.2</v>
      </c>
      <c r="N16" s="6">
        <v>6880131</v>
      </c>
      <c r="O16" s="11">
        <v>76.7</v>
      </c>
      <c r="P16" s="7">
        <v>23.299999999999997</v>
      </c>
      <c r="Q16" s="11">
        <v>23.3</v>
      </c>
    </row>
    <row r="17" spans="1:17">
      <c r="A17" s="2" t="s">
        <v>35</v>
      </c>
      <c r="B17" s="2" t="s">
        <v>36</v>
      </c>
      <c r="C17" s="2">
        <v>19</v>
      </c>
      <c r="D17" s="1" t="s">
        <v>32</v>
      </c>
      <c r="E17" s="7">
        <v>189.5</v>
      </c>
      <c r="F17" s="7">
        <v>67.3</v>
      </c>
      <c r="G17" s="4">
        <v>259949</v>
      </c>
      <c r="H17" s="22">
        <v>2.9</v>
      </c>
      <c r="I17" s="17">
        <v>362711.37479999999</v>
      </c>
      <c r="J17" s="17">
        <v>57995546</v>
      </c>
      <c r="K17" s="17">
        <v>34611.75</v>
      </c>
      <c r="L17" s="7">
        <v>38.200000000000003</v>
      </c>
      <c r="M17" s="1">
        <v>11.1</v>
      </c>
      <c r="N17" s="6">
        <v>3218414</v>
      </c>
      <c r="O17" s="11">
        <v>84.2</v>
      </c>
      <c r="P17" s="7">
        <v>15.799999999999997</v>
      </c>
      <c r="Q17" s="11">
        <v>23</v>
      </c>
    </row>
    <row r="18" spans="1:17">
      <c r="A18" s="2" t="s">
        <v>37</v>
      </c>
      <c r="B18" s="2" t="s">
        <v>38</v>
      </c>
      <c r="C18" s="2">
        <v>20</v>
      </c>
      <c r="D18" s="1" t="s">
        <v>32</v>
      </c>
      <c r="E18" s="7">
        <v>188.2</v>
      </c>
      <c r="F18" s="7">
        <v>67.400000000000006</v>
      </c>
      <c r="G18" s="4">
        <v>186878</v>
      </c>
      <c r="H18" s="22">
        <v>2.7</v>
      </c>
      <c r="I18" s="17">
        <v>313790.72279999999</v>
      </c>
      <c r="J18" s="17">
        <v>48529670</v>
      </c>
      <c r="K18" s="17">
        <v>38808.5</v>
      </c>
      <c r="L18" s="7">
        <v>36.5</v>
      </c>
      <c r="M18" s="1">
        <v>11</v>
      </c>
      <c r="N18" s="6">
        <v>2951500</v>
      </c>
      <c r="O18" s="11">
        <v>75.900000000000006</v>
      </c>
      <c r="P18" s="7">
        <v>24.099999999999994</v>
      </c>
      <c r="Q18" s="11">
        <v>24</v>
      </c>
    </row>
    <row r="19" spans="1:17">
      <c r="A19" s="2" t="s">
        <v>39</v>
      </c>
      <c r="B19" s="2" t="s">
        <v>40</v>
      </c>
      <c r="C19" s="2">
        <v>21</v>
      </c>
      <c r="D19" s="1" t="s">
        <v>5</v>
      </c>
      <c r="E19" s="7" t="s">
        <v>187</v>
      </c>
      <c r="F19" s="7"/>
      <c r="G19" s="4">
        <v>561185</v>
      </c>
      <c r="H19" s="22">
        <v>4.2</v>
      </c>
      <c r="I19" s="17">
        <v>486970.2745</v>
      </c>
      <c r="J19" s="17">
        <v>76329625</v>
      </c>
      <c r="K19" s="17">
        <v>67266.25</v>
      </c>
      <c r="L19" s="7"/>
      <c r="M19" s="1">
        <v>16.2</v>
      </c>
      <c r="N19" s="6">
        <v>4550595</v>
      </c>
      <c r="O19" s="11">
        <v>82.5</v>
      </c>
      <c r="P19" s="7">
        <v>17.5</v>
      </c>
      <c r="Q19" s="11">
        <v>22.4</v>
      </c>
    </row>
    <row r="20" spans="1:17">
      <c r="A20" s="2" t="s">
        <v>41</v>
      </c>
      <c r="B20" s="2" t="s">
        <v>42</v>
      </c>
      <c r="C20" s="2">
        <v>22</v>
      </c>
      <c r="D20" s="1" t="s">
        <v>5</v>
      </c>
      <c r="E20" s="7">
        <v>188.8</v>
      </c>
      <c r="F20" s="7">
        <v>67.099999999999994</v>
      </c>
      <c r="G20" s="4">
        <v>861619</v>
      </c>
      <c r="H20" s="22">
        <v>3.7</v>
      </c>
      <c r="I20" s="17">
        <v>495456.071</v>
      </c>
      <c r="J20" s="17">
        <v>77984033</v>
      </c>
      <c r="K20" s="17">
        <v>86818.25</v>
      </c>
      <c r="L20" s="7">
        <v>39.1</v>
      </c>
      <c r="M20" s="1">
        <v>18.7</v>
      </c>
      <c r="N20" s="6">
        <v>4588071</v>
      </c>
      <c r="O20" s="11">
        <v>56.7</v>
      </c>
      <c r="P20" s="7">
        <v>43.3</v>
      </c>
      <c r="Q20" s="11">
        <v>23.4</v>
      </c>
    </row>
    <row r="21" spans="1:17">
      <c r="A21" s="2" t="s">
        <v>43</v>
      </c>
      <c r="B21" s="2" t="s">
        <v>44</v>
      </c>
      <c r="C21" s="2">
        <v>23</v>
      </c>
      <c r="D21" s="1" t="s">
        <v>19</v>
      </c>
      <c r="E21" s="7">
        <v>181</v>
      </c>
      <c r="F21" s="7">
        <v>66.900000000000006</v>
      </c>
      <c r="G21" s="4">
        <v>168704</v>
      </c>
      <c r="H21" s="22">
        <v>2.9</v>
      </c>
      <c r="I21" s="17">
        <v>113429.5817</v>
      </c>
      <c r="J21" s="17">
        <v>18207955</v>
      </c>
      <c r="K21" s="17">
        <v>10062</v>
      </c>
      <c r="L21" s="7">
        <v>31.8</v>
      </c>
      <c r="M21" s="1">
        <v>10.1</v>
      </c>
      <c r="N21" s="6">
        <v>1399646</v>
      </c>
      <c r="O21" s="11">
        <v>90.1</v>
      </c>
      <c r="P21" s="7">
        <v>9.9000000000000057</v>
      </c>
      <c r="Q21" s="11">
        <v>18.5</v>
      </c>
    </row>
    <row r="22" spans="1:17">
      <c r="A22" s="2" t="s">
        <v>45</v>
      </c>
      <c r="B22" s="2" t="s">
        <v>46</v>
      </c>
      <c r="C22" s="2">
        <v>24</v>
      </c>
      <c r="D22" s="1" t="s">
        <v>5</v>
      </c>
      <c r="E22" s="7">
        <v>182.4</v>
      </c>
      <c r="F22" s="7">
        <v>66.900000000000006</v>
      </c>
      <c r="G22" s="4">
        <v>682038</v>
      </c>
      <c r="H22" s="22">
        <v>2.1</v>
      </c>
      <c r="I22" s="17">
        <v>418523.07319999998</v>
      </c>
      <c r="J22" s="17">
        <v>68995220</v>
      </c>
      <c r="K22" s="17">
        <v>70434.75</v>
      </c>
      <c r="L22" s="7">
        <v>34.200000000000003</v>
      </c>
      <c r="M22" s="1">
        <v>9.3000000000000007</v>
      </c>
      <c r="N22" s="6">
        <v>6217062</v>
      </c>
      <c r="O22" s="11">
        <v>47.9</v>
      </c>
      <c r="P22" s="7">
        <v>52.1</v>
      </c>
      <c r="Q22" s="11">
        <v>22.1</v>
      </c>
    </row>
    <row r="23" spans="1:17">
      <c r="A23" s="2" t="s">
        <v>47</v>
      </c>
      <c r="B23" s="2" t="s">
        <v>48</v>
      </c>
      <c r="C23" s="2">
        <v>25</v>
      </c>
      <c r="D23" s="1" t="s">
        <v>19</v>
      </c>
      <c r="E23" s="7">
        <v>176.6</v>
      </c>
      <c r="F23" s="7">
        <v>67</v>
      </c>
      <c r="G23" s="4">
        <v>1100805</v>
      </c>
      <c r="H23" s="22">
        <v>3.4</v>
      </c>
      <c r="I23" s="17">
        <v>596440.84860000003</v>
      </c>
      <c r="J23" s="17">
        <v>97783493</v>
      </c>
      <c r="K23" s="17">
        <v>74481.75</v>
      </c>
      <c r="L23" s="7">
        <v>27</v>
      </c>
      <c r="M23" s="1">
        <v>10.1</v>
      </c>
      <c r="N23" s="6">
        <v>7066568</v>
      </c>
      <c r="O23" s="11">
        <v>67.900000000000006</v>
      </c>
      <c r="P23" s="7">
        <v>32.099999999999994</v>
      </c>
      <c r="Q23" s="11">
        <v>19.600000000000001</v>
      </c>
    </row>
    <row r="24" spans="1:17">
      <c r="A24" s="2" t="s">
        <v>49</v>
      </c>
      <c r="B24" s="2" t="s">
        <v>50</v>
      </c>
      <c r="C24" s="2">
        <v>26</v>
      </c>
      <c r="D24" s="1" t="s">
        <v>32</v>
      </c>
      <c r="E24" s="7">
        <v>184.6</v>
      </c>
      <c r="F24" s="7">
        <v>67</v>
      </c>
      <c r="G24" s="4">
        <v>1478749</v>
      </c>
      <c r="H24" s="22">
        <v>3.9</v>
      </c>
      <c r="I24" s="17">
        <v>793277.71779999998</v>
      </c>
      <c r="J24" s="17">
        <v>123390694</v>
      </c>
      <c r="K24" s="17">
        <v>55203.25</v>
      </c>
      <c r="L24" s="7">
        <v>34.700000000000003</v>
      </c>
      <c r="M24" s="1">
        <v>13.3</v>
      </c>
      <c r="N24" s="6">
        <v>10083356</v>
      </c>
      <c r="O24" s="11">
        <v>73.8</v>
      </c>
      <c r="P24" s="7">
        <v>26.200000000000003</v>
      </c>
      <c r="Q24" s="11">
        <v>21.5</v>
      </c>
    </row>
    <row r="25" spans="1:17">
      <c r="A25" s="2" t="s">
        <v>51</v>
      </c>
      <c r="B25" s="2" t="s">
        <v>52</v>
      </c>
      <c r="C25" s="2">
        <v>27</v>
      </c>
      <c r="D25" s="1" t="s">
        <v>32</v>
      </c>
      <c r="E25" s="7">
        <v>185.3</v>
      </c>
      <c r="F25" s="7">
        <v>67.5</v>
      </c>
      <c r="G25" s="4">
        <v>456032</v>
      </c>
      <c r="H25" s="22">
        <v>2.8</v>
      </c>
      <c r="I25" s="17">
        <v>585262.25580000004</v>
      </c>
      <c r="J25" s="17">
        <v>90120616</v>
      </c>
      <c r="K25" s="17">
        <v>219778.75</v>
      </c>
      <c r="L25" s="7">
        <v>33.200000000000003</v>
      </c>
      <c r="M25" s="1">
        <v>8.9</v>
      </c>
      <c r="N25" s="6">
        <v>5753048</v>
      </c>
      <c r="O25" s="11">
        <v>76.7</v>
      </c>
      <c r="P25" s="7">
        <v>23.299999999999997</v>
      </c>
      <c r="Q25" s="11">
        <v>23.1</v>
      </c>
    </row>
    <row r="26" spans="1:17">
      <c r="A26" s="2" t="s">
        <v>53</v>
      </c>
      <c r="B26" s="2" t="s">
        <v>54</v>
      </c>
      <c r="C26" s="2">
        <v>28</v>
      </c>
      <c r="D26" s="1" t="s">
        <v>5</v>
      </c>
      <c r="E26" s="7">
        <v>189.7</v>
      </c>
      <c r="F26" s="7">
        <v>67</v>
      </c>
      <c r="G26" s="4">
        <v>401539</v>
      </c>
      <c r="H26" s="22">
        <v>3.2</v>
      </c>
      <c r="I26" s="17">
        <v>312061.12910000002</v>
      </c>
      <c r="J26" s="17">
        <v>52203280</v>
      </c>
      <c r="K26" s="17">
        <v>41520.25</v>
      </c>
      <c r="L26" s="7">
        <v>39.799999999999997</v>
      </c>
      <c r="M26" s="1">
        <v>17.899999999999999</v>
      </c>
      <c r="N26" s="6">
        <v>2943172</v>
      </c>
      <c r="O26" s="11">
        <v>55.6</v>
      </c>
      <c r="P26" s="7">
        <v>44.4</v>
      </c>
      <c r="Q26" s="11">
        <v>23.5</v>
      </c>
    </row>
    <row r="27" spans="1:17">
      <c r="A27" s="2" t="s">
        <v>55</v>
      </c>
      <c r="B27" s="2" t="s">
        <v>56</v>
      </c>
      <c r="C27" s="2">
        <v>29</v>
      </c>
      <c r="D27" s="1" t="s">
        <v>32</v>
      </c>
      <c r="E27" s="7">
        <v>186.5</v>
      </c>
      <c r="F27" s="7">
        <v>67.099999999999994</v>
      </c>
      <c r="G27" s="4">
        <v>654283</v>
      </c>
      <c r="H27" s="22">
        <v>3</v>
      </c>
      <c r="I27" s="17">
        <v>526288.50529999996</v>
      </c>
      <c r="J27" s="17">
        <v>81732099</v>
      </c>
      <c r="K27" s="17">
        <v>214859.5</v>
      </c>
      <c r="L27" s="7">
        <v>36.4</v>
      </c>
      <c r="M27" s="1">
        <v>11.8</v>
      </c>
      <c r="N27" s="6">
        <v>6208038</v>
      </c>
      <c r="O27" s="11">
        <v>77.8</v>
      </c>
      <c r="P27" s="7">
        <v>22.200000000000003</v>
      </c>
      <c r="Q27" s="11">
        <v>22.3</v>
      </c>
    </row>
    <row r="28" spans="1:17">
      <c r="A28" s="2" t="s">
        <v>57</v>
      </c>
      <c r="B28" s="2" t="s">
        <v>58</v>
      </c>
      <c r="C28" s="2">
        <v>30</v>
      </c>
      <c r="D28" s="1" t="s">
        <v>8</v>
      </c>
      <c r="E28" s="7">
        <v>184.3</v>
      </c>
      <c r="F28" s="7">
        <v>67.7</v>
      </c>
      <c r="G28" s="4">
        <v>81182</v>
      </c>
      <c r="H28" s="22">
        <v>2.9</v>
      </c>
      <c r="I28" s="17">
        <v>74930.960099999997</v>
      </c>
      <c r="J28" s="17">
        <v>12083797</v>
      </c>
      <c r="K28" s="17">
        <v>9978.25</v>
      </c>
      <c r="L28" s="7">
        <v>31</v>
      </c>
      <c r="M28" s="1">
        <v>11.4</v>
      </c>
      <c r="N28" s="6">
        <v>1131302</v>
      </c>
      <c r="O28" s="11">
        <v>84.6</v>
      </c>
      <c r="P28" s="7">
        <v>15.400000000000006</v>
      </c>
      <c r="Q28" s="11">
        <v>21.4</v>
      </c>
    </row>
    <row r="29" spans="1:17">
      <c r="A29" s="2" t="s">
        <v>59</v>
      </c>
      <c r="B29" s="2" t="s">
        <v>60</v>
      </c>
      <c r="C29" s="2">
        <v>31</v>
      </c>
      <c r="D29" s="1" t="s">
        <v>32</v>
      </c>
      <c r="E29" s="7">
        <v>188.9</v>
      </c>
      <c r="F29" s="7">
        <v>67.3</v>
      </c>
      <c r="G29" s="4">
        <v>154159</v>
      </c>
      <c r="H29" s="22">
        <v>2.2999999999999998</v>
      </c>
      <c r="I29" s="17">
        <v>240605.53760000001</v>
      </c>
      <c r="J29" s="17">
        <v>37815389</v>
      </c>
      <c r="K29" s="17">
        <v>31758.75</v>
      </c>
      <c r="L29" s="7">
        <v>38.4</v>
      </c>
      <c r="M29" s="1">
        <v>10.3</v>
      </c>
      <c r="N29" s="6">
        <v>1987864</v>
      </c>
      <c r="O29" s="11">
        <v>77.7</v>
      </c>
      <c r="P29" s="7">
        <v>22.299999999999997</v>
      </c>
      <c r="Q29" s="11">
        <v>24.6</v>
      </c>
    </row>
    <row r="30" spans="1:17">
      <c r="A30" s="2" t="s">
        <v>61</v>
      </c>
      <c r="B30" s="2" t="s">
        <v>62</v>
      </c>
      <c r="C30" s="2">
        <v>32</v>
      </c>
      <c r="D30" s="1" t="s">
        <v>8</v>
      </c>
      <c r="E30" s="7">
        <v>181.1</v>
      </c>
      <c r="F30" s="7">
        <v>67.3</v>
      </c>
      <c r="G30" s="4">
        <v>507021</v>
      </c>
      <c r="H30" s="22">
        <v>5.0999999999999996</v>
      </c>
      <c r="I30" s="17">
        <v>235764.11360000001</v>
      </c>
      <c r="J30" s="17">
        <v>39556924</v>
      </c>
      <c r="K30" s="17">
        <v>17158.5</v>
      </c>
      <c r="L30" s="7">
        <v>30</v>
      </c>
      <c r="M30" s="1">
        <v>11.9</v>
      </c>
      <c r="N30" s="6">
        <v>3214363</v>
      </c>
      <c r="O30" s="11">
        <v>49.8</v>
      </c>
      <c r="P30" s="7">
        <v>50.2</v>
      </c>
      <c r="Q30" s="11">
        <v>22.5</v>
      </c>
    </row>
    <row r="31" spans="1:17">
      <c r="A31" s="2" t="s">
        <v>63</v>
      </c>
      <c r="B31" s="2" t="s">
        <v>64</v>
      </c>
      <c r="C31" s="2">
        <v>33</v>
      </c>
      <c r="D31" s="1" t="s">
        <v>19</v>
      </c>
      <c r="E31" s="7">
        <v>176.8</v>
      </c>
      <c r="F31" s="7">
        <v>66.5</v>
      </c>
      <c r="G31" s="4">
        <v>77911</v>
      </c>
      <c r="H31" s="22">
        <v>2.2000000000000002</v>
      </c>
      <c r="I31" s="17">
        <v>74987.534499999994</v>
      </c>
      <c r="J31" s="17">
        <v>12162859</v>
      </c>
      <c r="K31" s="17">
        <v>7738</v>
      </c>
      <c r="L31" s="7">
        <v>29.7</v>
      </c>
      <c r="M31" s="1">
        <v>7</v>
      </c>
      <c r="N31" s="6">
        <v>1402199</v>
      </c>
      <c r="O31" s="11">
        <v>87.5</v>
      </c>
      <c r="P31" s="7">
        <v>12.5</v>
      </c>
      <c r="Q31" s="11">
        <v>18.8</v>
      </c>
    </row>
    <row r="32" spans="1:17">
      <c r="A32" s="2" t="s">
        <v>65</v>
      </c>
      <c r="B32" s="2" t="s">
        <v>66</v>
      </c>
      <c r="C32" s="2">
        <v>34</v>
      </c>
      <c r="D32" s="1" t="s">
        <v>19</v>
      </c>
      <c r="E32" s="7">
        <v>176.7</v>
      </c>
      <c r="F32" s="7">
        <v>66.900000000000006</v>
      </c>
      <c r="G32" s="4">
        <v>798380</v>
      </c>
      <c r="H32" s="22">
        <v>4.4000000000000004</v>
      </c>
      <c r="I32" s="17">
        <v>687588.15769999998</v>
      </c>
      <c r="J32" s="17">
        <v>111141778</v>
      </c>
      <c r="K32" s="17">
        <v>90284.75</v>
      </c>
      <c r="L32" s="7">
        <v>28</v>
      </c>
      <c r="M32" s="1">
        <v>9.5</v>
      </c>
      <c r="N32" s="6">
        <v>9379642</v>
      </c>
      <c r="O32" s="11">
        <v>53.5</v>
      </c>
      <c r="P32" s="7">
        <v>46.5</v>
      </c>
      <c r="Q32" s="11">
        <v>21.8</v>
      </c>
    </row>
    <row r="33" spans="1:17">
      <c r="A33" s="2" t="s">
        <v>67</v>
      </c>
      <c r="B33" s="2" t="s">
        <v>68</v>
      </c>
      <c r="C33" s="2">
        <v>35</v>
      </c>
      <c r="D33" s="1" t="s">
        <v>8</v>
      </c>
      <c r="E33" s="7">
        <v>177.1</v>
      </c>
      <c r="F33" s="7">
        <v>66.3</v>
      </c>
      <c r="G33" s="4">
        <v>448453</v>
      </c>
      <c r="H33" s="22">
        <v>3.8</v>
      </c>
      <c r="I33" s="17">
        <v>186384.87349999999</v>
      </c>
      <c r="J33" s="17">
        <v>31453903</v>
      </c>
      <c r="K33" s="17">
        <v>28946.25</v>
      </c>
      <c r="L33" s="7">
        <v>32.799999999999997</v>
      </c>
      <c r="M33" s="1">
        <v>17.600000000000001</v>
      </c>
      <c r="N33" s="6">
        <v>2121164</v>
      </c>
      <c r="O33" s="11">
        <v>47.5</v>
      </c>
      <c r="P33" s="7">
        <v>52.5</v>
      </c>
      <c r="Q33" s="11">
        <v>22.7</v>
      </c>
    </row>
    <row r="34" spans="1:17">
      <c r="A34" s="2" t="s">
        <v>69</v>
      </c>
      <c r="B34" s="2" t="s">
        <v>70</v>
      </c>
      <c r="C34" s="2">
        <v>36</v>
      </c>
      <c r="D34" s="1" t="s">
        <v>19</v>
      </c>
      <c r="E34" s="7">
        <v>177.2</v>
      </c>
      <c r="F34" s="7">
        <v>66.8</v>
      </c>
      <c r="G34" s="4">
        <v>2848939</v>
      </c>
      <c r="H34" s="22">
        <v>4.2</v>
      </c>
      <c r="I34" s="17">
        <v>1593159.1754000001</v>
      </c>
      <c r="J34" s="17">
        <v>261083959</v>
      </c>
      <c r="K34" s="17">
        <v>240947.5</v>
      </c>
      <c r="L34" s="7">
        <v>29.4</v>
      </c>
      <c r="M34" s="1">
        <v>13.7</v>
      </c>
      <c r="N34" s="6">
        <v>19737367</v>
      </c>
      <c r="O34" s="11">
        <v>55.1</v>
      </c>
      <c r="P34" s="7">
        <v>44.9</v>
      </c>
      <c r="Q34" s="11">
        <v>20.7</v>
      </c>
    </row>
    <row r="35" spans="1:17">
      <c r="A35" s="2" t="s">
        <v>71</v>
      </c>
      <c r="B35" s="2" t="s">
        <v>72</v>
      </c>
      <c r="C35" s="2">
        <v>37</v>
      </c>
      <c r="D35" s="1" t="s">
        <v>5</v>
      </c>
      <c r="E35" s="7">
        <v>184.8</v>
      </c>
      <c r="F35" s="7">
        <v>67.099999999999994</v>
      </c>
      <c r="G35" s="4">
        <v>1476280</v>
      </c>
      <c r="H35" s="22">
        <v>3.5</v>
      </c>
      <c r="I35" s="17">
        <v>762233.00970000005</v>
      </c>
      <c r="J35" s="17">
        <v>127247572</v>
      </c>
      <c r="K35" s="17">
        <v>112084</v>
      </c>
      <c r="L35" s="7">
        <v>35.6</v>
      </c>
      <c r="M35" s="1">
        <v>12.7</v>
      </c>
      <c r="N35" s="6">
        <v>10881189</v>
      </c>
      <c r="O35" s="11">
        <v>61.4</v>
      </c>
      <c r="P35" s="7">
        <v>38.6</v>
      </c>
      <c r="Q35" s="11">
        <v>21.9</v>
      </c>
    </row>
    <row r="36" spans="1:17">
      <c r="A36" s="2" t="s">
        <v>73</v>
      </c>
      <c r="B36" s="2" t="s">
        <v>74</v>
      </c>
      <c r="C36" s="2">
        <v>38</v>
      </c>
      <c r="D36" s="1" t="s">
        <v>32</v>
      </c>
      <c r="E36" s="7">
        <v>188.4</v>
      </c>
      <c r="F36" s="7">
        <v>67.400000000000006</v>
      </c>
      <c r="G36" s="4">
        <v>45952</v>
      </c>
      <c r="H36" s="22">
        <v>1.9</v>
      </c>
      <c r="I36" s="17">
        <v>92961.8842</v>
      </c>
      <c r="J36" s="17">
        <v>14376962</v>
      </c>
      <c r="K36" s="17">
        <v>13705.75</v>
      </c>
      <c r="L36" s="7">
        <v>36.299999999999997</v>
      </c>
      <c r="M36" s="1">
        <v>9.6</v>
      </c>
      <c r="N36" s="6">
        <v>789047</v>
      </c>
      <c r="O36" s="11">
        <v>82.5</v>
      </c>
      <c r="P36" s="7">
        <v>17.5</v>
      </c>
      <c r="Q36" s="11">
        <v>23.6</v>
      </c>
    </row>
    <row r="37" spans="1:17">
      <c r="A37" s="2" t="s">
        <v>75</v>
      </c>
      <c r="B37" s="2" t="s">
        <v>76</v>
      </c>
      <c r="C37" s="2">
        <v>39</v>
      </c>
      <c r="D37" s="1" t="s">
        <v>32</v>
      </c>
      <c r="E37" s="7">
        <v>188.4</v>
      </c>
      <c r="F37" s="7">
        <v>67.099999999999994</v>
      </c>
      <c r="G37" s="4">
        <v>1376833</v>
      </c>
      <c r="H37" s="22">
        <v>3.5</v>
      </c>
      <c r="I37" s="17">
        <v>933127.29229999997</v>
      </c>
      <c r="J37" s="17">
        <v>149491377</v>
      </c>
      <c r="K37" s="17">
        <v>94294</v>
      </c>
      <c r="L37" s="7">
        <v>37.4</v>
      </c>
      <c r="M37" s="1">
        <v>13.2</v>
      </c>
      <c r="N37" s="6">
        <v>11824034</v>
      </c>
      <c r="O37" s="11">
        <v>76.599999999999994</v>
      </c>
      <c r="P37" s="7">
        <v>23.400000000000006</v>
      </c>
      <c r="Q37" s="11">
        <v>22.1</v>
      </c>
    </row>
    <row r="38" spans="1:17">
      <c r="A38" s="2" t="s">
        <v>77</v>
      </c>
      <c r="B38" s="2" t="s">
        <v>78</v>
      </c>
      <c r="C38" s="2">
        <v>40</v>
      </c>
      <c r="D38" s="1" t="s">
        <v>5</v>
      </c>
      <c r="E38" s="7">
        <v>188.5</v>
      </c>
      <c r="F38" s="7">
        <v>67.2</v>
      </c>
      <c r="G38" s="4">
        <v>687275</v>
      </c>
      <c r="H38" s="22">
        <v>3.2</v>
      </c>
      <c r="I38" s="17">
        <v>390115.78570000001</v>
      </c>
      <c r="J38" s="17">
        <v>58965117</v>
      </c>
      <c r="K38" s="17">
        <v>52891</v>
      </c>
      <c r="L38" s="7">
        <v>38.6</v>
      </c>
      <c r="M38" s="1">
        <v>15.8</v>
      </c>
      <c r="N38" s="6">
        <v>4063882</v>
      </c>
      <c r="O38" s="11">
        <v>64.599999999999994</v>
      </c>
      <c r="P38" s="7">
        <v>35.400000000000006</v>
      </c>
      <c r="Q38" s="11">
        <v>24.1</v>
      </c>
    </row>
    <row r="39" spans="1:17">
      <c r="A39" s="2" t="s">
        <v>79</v>
      </c>
      <c r="B39" s="2" t="s">
        <v>80</v>
      </c>
      <c r="C39" s="2">
        <v>41</v>
      </c>
      <c r="D39" s="1" t="s">
        <v>8</v>
      </c>
      <c r="E39" s="7">
        <v>185.4</v>
      </c>
      <c r="F39" s="7">
        <v>67.5</v>
      </c>
      <c r="G39" s="4">
        <v>742069</v>
      </c>
      <c r="H39" s="22">
        <v>3.7</v>
      </c>
      <c r="I39" s="17">
        <v>267195.97269999998</v>
      </c>
      <c r="J39" s="17">
        <v>41788874</v>
      </c>
      <c r="K39" s="17">
        <v>29998</v>
      </c>
      <c r="L39" s="7">
        <v>33.1</v>
      </c>
      <c r="M39" s="1">
        <v>11.7</v>
      </c>
      <c r="N39" s="6">
        <v>4253653</v>
      </c>
      <c r="O39" s="11">
        <v>73.900000000000006</v>
      </c>
      <c r="P39" s="7">
        <v>26.099999999999994</v>
      </c>
      <c r="Q39" s="11">
        <v>20.5</v>
      </c>
    </row>
    <row r="40" spans="1:17">
      <c r="A40" s="2" t="s">
        <v>81</v>
      </c>
      <c r="B40" s="2" t="s">
        <v>82</v>
      </c>
      <c r="C40" s="2">
        <v>42</v>
      </c>
      <c r="D40" s="1" t="s">
        <v>19</v>
      </c>
      <c r="E40" s="7"/>
      <c r="F40" s="7"/>
      <c r="G40" s="4">
        <v>1977626</v>
      </c>
      <c r="H40" s="22">
        <v>3.4</v>
      </c>
      <c r="I40" s="17">
        <v>959554.47679999995</v>
      </c>
      <c r="J40" s="17">
        <v>157756826</v>
      </c>
      <c r="K40" s="17">
        <v>115297.5</v>
      </c>
      <c r="L40" s="7"/>
      <c r="M40" s="1">
        <v>11.8</v>
      </c>
      <c r="N40" s="6">
        <v>13017721</v>
      </c>
      <c r="O40" s="11">
        <v>74</v>
      </c>
      <c r="P40" s="7">
        <v>26</v>
      </c>
      <c r="Q40" s="11">
        <v>20.6</v>
      </c>
    </row>
    <row r="41" spans="1:17">
      <c r="A41" s="2" t="s">
        <v>83</v>
      </c>
      <c r="B41" s="2" t="s">
        <v>84</v>
      </c>
      <c r="C41" s="2">
        <v>44</v>
      </c>
      <c r="D41" s="1" t="s">
        <v>19</v>
      </c>
      <c r="E41" s="7">
        <v>177</v>
      </c>
      <c r="F41" s="7">
        <v>66.400000000000006</v>
      </c>
      <c r="G41" s="4">
        <v>143089</v>
      </c>
      <c r="H41" s="22">
        <v>3</v>
      </c>
      <c r="I41" s="17">
        <v>70322.066399999996</v>
      </c>
      <c r="J41" s="17">
        <v>11578969</v>
      </c>
      <c r="K41" s="17">
        <v>8583.25</v>
      </c>
      <c r="L41" s="7">
        <v>30.8</v>
      </c>
      <c r="M41" s="1">
        <v>10.5</v>
      </c>
      <c r="N41" s="6">
        <v>1103429</v>
      </c>
      <c r="O41" s="11">
        <v>69.7</v>
      </c>
      <c r="P41" s="7">
        <v>30.299999999999997</v>
      </c>
      <c r="Q41" s="11">
        <v>19.3</v>
      </c>
    </row>
    <row r="42" spans="1:17">
      <c r="A42" s="2" t="s">
        <v>85</v>
      </c>
      <c r="B42" s="2" t="s">
        <v>86</v>
      </c>
      <c r="C42" s="2">
        <v>45</v>
      </c>
      <c r="D42" s="1" t="s">
        <v>5</v>
      </c>
      <c r="E42" s="7">
        <v>184.1</v>
      </c>
      <c r="F42" s="7">
        <v>67.099999999999994</v>
      </c>
      <c r="G42" s="4">
        <v>597036</v>
      </c>
      <c r="H42" s="22">
        <v>3</v>
      </c>
      <c r="I42" s="17">
        <v>458304.32699999999</v>
      </c>
      <c r="J42" s="17">
        <v>77804814</v>
      </c>
      <c r="K42" s="17">
        <v>39683</v>
      </c>
      <c r="L42" s="7">
        <v>34.4</v>
      </c>
      <c r="M42" s="1">
        <v>13.7</v>
      </c>
      <c r="N42" s="6">
        <v>5387830</v>
      </c>
      <c r="O42" s="11">
        <v>63.6</v>
      </c>
      <c r="P42" s="7">
        <v>36.4</v>
      </c>
      <c r="Q42" s="11">
        <v>21.6</v>
      </c>
    </row>
    <row r="43" spans="1:17">
      <c r="A43" s="2" t="s">
        <v>87</v>
      </c>
      <c r="B43" s="2" t="s">
        <v>88</v>
      </c>
      <c r="C43" s="2">
        <v>46</v>
      </c>
      <c r="D43" s="1" t="s">
        <v>32</v>
      </c>
      <c r="E43" s="7">
        <v>189.8</v>
      </c>
      <c r="F43" s="7">
        <v>67.7</v>
      </c>
      <c r="G43" s="4">
        <v>73313</v>
      </c>
      <c r="H43" s="22">
        <v>2</v>
      </c>
      <c r="I43" s="17">
        <v>100192.9762</v>
      </c>
      <c r="J43" s="17">
        <v>15411471</v>
      </c>
      <c r="K43" s="17">
        <v>11582.25</v>
      </c>
      <c r="L43" s="7">
        <v>35.700000000000003</v>
      </c>
      <c r="M43" s="1">
        <v>11.5</v>
      </c>
      <c r="N43" s="6">
        <v>918305</v>
      </c>
      <c r="O43" s="11">
        <v>80.5</v>
      </c>
      <c r="P43" s="7">
        <v>19.5</v>
      </c>
      <c r="Q43" s="11">
        <v>24.5</v>
      </c>
    </row>
    <row r="44" spans="1:17">
      <c r="A44" s="2" t="s">
        <v>89</v>
      </c>
      <c r="B44" s="2" t="s">
        <v>90</v>
      </c>
      <c r="C44" s="2">
        <v>47</v>
      </c>
      <c r="D44" s="1" t="s">
        <v>5</v>
      </c>
      <c r="E44" s="7">
        <v>188.7</v>
      </c>
      <c r="F44" s="7">
        <v>67.3</v>
      </c>
      <c r="G44" s="4">
        <v>691532</v>
      </c>
      <c r="H44" s="22">
        <v>3.3</v>
      </c>
      <c r="I44" s="17">
        <v>612969.79500000004</v>
      </c>
      <c r="J44" s="17">
        <v>99609125</v>
      </c>
      <c r="K44" s="17">
        <v>81330</v>
      </c>
      <c r="L44" s="7">
        <v>37.700000000000003</v>
      </c>
      <c r="M44" s="1">
        <v>13.9</v>
      </c>
      <c r="N44" s="6">
        <v>7148304</v>
      </c>
      <c r="O44" s="11">
        <v>72.3</v>
      </c>
      <c r="P44" s="7">
        <v>27.700000000000003</v>
      </c>
      <c r="Q44" s="11">
        <v>22.1</v>
      </c>
    </row>
    <row r="45" spans="1:17">
      <c r="A45" s="2" t="s">
        <v>91</v>
      </c>
      <c r="B45" s="2" t="s">
        <v>92</v>
      </c>
      <c r="C45" s="2">
        <v>48</v>
      </c>
      <c r="D45" s="1" t="s">
        <v>5</v>
      </c>
      <c r="E45" s="7">
        <v>182.6</v>
      </c>
      <c r="F45" s="7">
        <v>66.900000000000006</v>
      </c>
      <c r="G45" s="4">
        <v>3237133</v>
      </c>
      <c r="H45" s="22">
        <v>3.9</v>
      </c>
      <c r="I45" s="17">
        <v>3345596.4281000001</v>
      </c>
      <c r="J45" s="17">
        <v>539642021</v>
      </c>
      <c r="K45" s="17">
        <v>970571.25</v>
      </c>
      <c r="L45" s="7">
        <v>34.700000000000003</v>
      </c>
      <c r="M45" s="1">
        <v>13.6</v>
      </c>
      <c r="N45" s="6">
        <v>30727890</v>
      </c>
      <c r="O45" s="11">
        <v>47.7</v>
      </c>
      <c r="P45" s="7">
        <v>52.3</v>
      </c>
      <c r="Q45" s="11">
        <v>25.5</v>
      </c>
    </row>
    <row r="46" spans="1:17">
      <c r="A46" s="2" t="s">
        <v>93</v>
      </c>
      <c r="B46" s="2" t="s">
        <v>94</v>
      </c>
      <c r="C46" s="2">
        <v>49</v>
      </c>
      <c r="D46" s="1" t="s">
        <v>8</v>
      </c>
      <c r="E46" s="7">
        <v>182.8</v>
      </c>
      <c r="F46" s="7">
        <v>67.7</v>
      </c>
      <c r="G46" s="4">
        <v>161705</v>
      </c>
      <c r="H46" s="22">
        <v>2.6</v>
      </c>
      <c r="I46" s="17">
        <v>310135.6826</v>
      </c>
      <c r="J46" s="17">
        <v>50053623</v>
      </c>
      <c r="K46" s="17">
        <v>30108.5</v>
      </c>
      <c r="L46" s="7">
        <v>30.4</v>
      </c>
      <c r="M46" s="1">
        <v>8.9</v>
      </c>
      <c r="N46" s="6">
        <v>3443222</v>
      </c>
      <c r="O46" s="11">
        <v>78.599999999999994</v>
      </c>
      <c r="P46" s="7">
        <v>21.400000000000006</v>
      </c>
      <c r="Q46" s="11">
        <v>29</v>
      </c>
    </row>
    <row r="47" spans="1:17">
      <c r="A47" s="2" t="s">
        <v>95</v>
      </c>
      <c r="B47" s="2" t="s">
        <v>96</v>
      </c>
      <c r="C47" s="2">
        <v>50</v>
      </c>
      <c r="D47" s="1" t="s">
        <v>19</v>
      </c>
      <c r="E47" s="7">
        <v>178.5</v>
      </c>
      <c r="F47" s="7">
        <v>67</v>
      </c>
      <c r="G47" s="4">
        <v>67876</v>
      </c>
      <c r="H47" s="22">
        <v>2</v>
      </c>
      <c r="I47" s="17">
        <v>53562.028100000003</v>
      </c>
      <c r="J47" s="17">
        <v>8655880</v>
      </c>
      <c r="K47" s="17">
        <v>8091.5</v>
      </c>
      <c r="L47" s="7">
        <v>28.2</v>
      </c>
      <c r="M47" s="1">
        <v>9.3000000000000007</v>
      </c>
      <c r="N47" s="6">
        <v>648708</v>
      </c>
      <c r="O47" s="11">
        <v>89.9</v>
      </c>
      <c r="P47" s="7">
        <v>10.099999999999994</v>
      </c>
      <c r="Q47" s="11">
        <v>18.3</v>
      </c>
    </row>
    <row r="48" spans="1:17">
      <c r="A48" s="2" t="s">
        <v>97</v>
      </c>
      <c r="B48" s="2" t="s">
        <v>98</v>
      </c>
      <c r="C48" s="2">
        <v>51</v>
      </c>
      <c r="D48" s="1" t="s">
        <v>5</v>
      </c>
      <c r="E48" s="7">
        <v>183</v>
      </c>
      <c r="F48" s="7">
        <v>66.900000000000006</v>
      </c>
      <c r="G48" s="4">
        <v>831989</v>
      </c>
      <c r="H48" s="22">
        <v>2.9</v>
      </c>
      <c r="I48" s="17">
        <v>703924.24789999996</v>
      </c>
      <c r="J48" s="17">
        <v>115070948</v>
      </c>
      <c r="K48" s="17">
        <v>87740.25</v>
      </c>
      <c r="L48" s="7">
        <v>34.299999999999997</v>
      </c>
      <c r="M48" s="1">
        <v>10.1</v>
      </c>
      <c r="N48" s="6">
        <v>8734685</v>
      </c>
      <c r="O48" s="11">
        <v>59.8</v>
      </c>
      <c r="P48" s="7">
        <v>40.200000000000003</v>
      </c>
      <c r="Q48" s="11">
        <v>21.8</v>
      </c>
    </row>
    <row r="49" spans="1:17">
      <c r="A49" s="2" t="s">
        <v>99</v>
      </c>
      <c r="B49" s="2" t="s">
        <v>100</v>
      </c>
      <c r="C49" s="2">
        <v>53</v>
      </c>
      <c r="D49" s="1" t="s">
        <v>8</v>
      </c>
      <c r="E49" s="7">
        <v>181.3</v>
      </c>
      <c r="F49" s="7">
        <v>67.2</v>
      </c>
      <c r="G49" s="4">
        <v>873576</v>
      </c>
      <c r="H49" s="22">
        <v>4.0999999999999996</v>
      </c>
      <c r="I49" s="17">
        <v>493032.48229999997</v>
      </c>
      <c r="J49" s="17">
        <v>85371893</v>
      </c>
      <c r="K49" s="17">
        <v>53523.75</v>
      </c>
      <c r="L49" s="7">
        <v>30.6</v>
      </c>
      <c r="M49" s="1">
        <v>10.1</v>
      </c>
      <c r="N49" s="6">
        <v>7857320</v>
      </c>
      <c r="O49" s="11">
        <v>65.2</v>
      </c>
      <c r="P49" s="7">
        <v>34.799999999999997</v>
      </c>
      <c r="Q49" s="11">
        <v>21.8</v>
      </c>
    </row>
    <row r="50" spans="1:17">
      <c r="A50" s="2" t="s">
        <v>101</v>
      </c>
      <c r="B50" s="2" t="s">
        <v>102</v>
      </c>
      <c r="C50" s="2">
        <v>54</v>
      </c>
      <c r="D50" s="1" t="s">
        <v>5</v>
      </c>
      <c r="E50" s="7">
        <v>190.3</v>
      </c>
      <c r="F50" s="7">
        <v>67</v>
      </c>
      <c r="G50" s="4">
        <v>281008</v>
      </c>
      <c r="H50" s="22">
        <v>3.9</v>
      </c>
      <c r="I50" s="17">
        <v>166922.68969999999</v>
      </c>
      <c r="J50" s="17">
        <v>26573444</v>
      </c>
      <c r="K50" s="17">
        <v>22389.75</v>
      </c>
      <c r="L50" s="7">
        <v>40.1</v>
      </c>
      <c r="M50" s="1">
        <v>16.5</v>
      </c>
      <c r="N50" s="6">
        <v>1770495</v>
      </c>
      <c r="O50" s="11">
        <v>90.1</v>
      </c>
      <c r="P50" s="7">
        <v>9.9000000000000057</v>
      </c>
      <c r="Q50" s="11">
        <v>20.100000000000001</v>
      </c>
    </row>
    <row r="51" spans="1:17">
      <c r="A51" s="2" t="s">
        <v>103</v>
      </c>
      <c r="B51" s="2" t="s">
        <v>104</v>
      </c>
      <c r="C51" s="2">
        <v>55</v>
      </c>
      <c r="D51" s="1" t="s">
        <v>32</v>
      </c>
      <c r="E51" s="7">
        <v>187.4</v>
      </c>
      <c r="F51" s="7">
        <v>67.099999999999994</v>
      </c>
      <c r="G51" s="4">
        <v>710919</v>
      </c>
      <c r="H51" s="22">
        <v>3</v>
      </c>
      <c r="I51" s="17">
        <v>474075.39260000002</v>
      </c>
      <c r="J51" s="17">
        <v>75084875</v>
      </c>
      <c r="K51" s="17">
        <v>41037.5</v>
      </c>
      <c r="L51" s="7">
        <v>37.1</v>
      </c>
      <c r="M51" s="1">
        <v>10.4</v>
      </c>
      <c r="N51" s="6">
        <v>5930405</v>
      </c>
      <c r="O51" s="11">
        <v>79.900000000000006</v>
      </c>
      <c r="P51" s="7">
        <v>20.099999999999994</v>
      </c>
      <c r="Q51" s="11">
        <v>21.8</v>
      </c>
    </row>
    <row r="52" spans="1:17">
      <c r="A52" s="2" t="s">
        <v>105</v>
      </c>
      <c r="B52" s="2" t="s">
        <v>106</v>
      </c>
      <c r="C52" s="2">
        <v>56</v>
      </c>
      <c r="D52" s="1" t="s">
        <v>8</v>
      </c>
      <c r="E52" s="7">
        <v>182.9</v>
      </c>
      <c r="F52" s="7">
        <v>67.3</v>
      </c>
      <c r="G52" s="4">
        <v>28800</v>
      </c>
      <c r="H52" s="22">
        <v>2.9</v>
      </c>
      <c r="I52" s="17">
        <v>44148.507700000002</v>
      </c>
      <c r="J52" s="17">
        <v>6847138</v>
      </c>
      <c r="K52" s="17">
        <v>6397.25</v>
      </c>
      <c r="L52" s="7">
        <v>32</v>
      </c>
      <c r="M52" s="1">
        <v>11.2</v>
      </c>
      <c r="N52" s="6">
        <v>585067</v>
      </c>
      <c r="O52" s="11">
        <v>84.1</v>
      </c>
      <c r="P52" s="7">
        <v>15.900000000000006</v>
      </c>
      <c r="Q52" s="11">
        <v>23.1</v>
      </c>
    </row>
    <row r="53" spans="1:17">
      <c r="E53" s="7"/>
    </row>
    <row r="54" spans="1:17">
      <c r="J54" s="3"/>
      <c r="K54" s="3"/>
    </row>
    <row r="55" spans="1:17">
      <c r="J55" s="3"/>
      <c r="K5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648B-A3E5-4D03-A61D-D21224C919B3}">
  <dimension ref="A1:N65"/>
  <sheetViews>
    <sheetView workbookViewId="0">
      <selection activeCell="J1" sqref="J1"/>
    </sheetView>
  </sheetViews>
  <sheetFormatPr baseColWidth="10" defaultColWidth="8.83203125" defaultRowHeight="16"/>
  <cols>
    <col min="1" max="1" width="17.1640625" bestFit="1" customWidth="1"/>
    <col min="4" max="4" width="10.83203125" bestFit="1" customWidth="1"/>
    <col min="5" max="5" width="9" bestFit="1" customWidth="1"/>
    <col min="6" max="6" width="9.6640625" bestFit="1" customWidth="1"/>
    <col min="7" max="7" width="16" bestFit="1" customWidth="1"/>
    <col min="8" max="8" width="15.1640625" bestFit="1" customWidth="1"/>
    <col min="9" max="9" width="11.83203125" bestFit="1" customWidth="1"/>
    <col min="10" max="10" width="17" bestFit="1" customWidth="1"/>
    <col min="11" max="11" width="16.1640625" bestFit="1" customWidth="1"/>
    <col min="12" max="12" width="15.1640625" bestFit="1" customWidth="1"/>
    <col min="13" max="13" width="14.83203125" bestFit="1" customWidth="1"/>
    <col min="14" max="14" width="14.1640625" bestFit="1" customWidth="1"/>
  </cols>
  <sheetData>
    <row r="1" spans="1:14">
      <c r="A1" t="s">
        <v>235</v>
      </c>
      <c r="B1" t="s">
        <v>239</v>
      </c>
      <c r="C1" t="s">
        <v>240</v>
      </c>
      <c r="D1" t="s">
        <v>242</v>
      </c>
      <c r="E1" t="s">
        <v>241</v>
      </c>
      <c r="F1" t="s">
        <v>256</v>
      </c>
      <c r="G1" t="s">
        <v>244</v>
      </c>
      <c r="H1" t="s">
        <v>245</v>
      </c>
      <c r="I1" t="s">
        <v>243</v>
      </c>
      <c r="J1" t="s">
        <v>246</v>
      </c>
      <c r="K1" t="s">
        <v>247</v>
      </c>
      <c r="L1" t="s">
        <v>248</v>
      </c>
      <c r="M1" t="s">
        <v>249</v>
      </c>
      <c r="N1" t="s">
        <v>250</v>
      </c>
    </row>
    <row r="2" spans="1:14">
      <c r="A2" t="s">
        <v>3</v>
      </c>
      <c r="B2">
        <v>16.5</v>
      </c>
      <c r="C2">
        <v>14.1</v>
      </c>
      <c r="D2">
        <v>15.6</v>
      </c>
      <c r="E2">
        <v>15.5</v>
      </c>
      <c r="F2">
        <v>5117673</v>
      </c>
      <c r="G2">
        <v>16.7</v>
      </c>
      <c r="H2">
        <v>14.1</v>
      </c>
      <c r="I2">
        <v>21.1</v>
      </c>
      <c r="J2">
        <v>23</v>
      </c>
      <c r="K2">
        <v>18.399999999999999</v>
      </c>
      <c r="L2">
        <v>11.9</v>
      </c>
      <c r="M2">
        <v>11.8</v>
      </c>
      <c r="N2">
        <v>11.9</v>
      </c>
    </row>
    <row r="3" spans="1:14">
      <c r="A3" t="s">
        <v>6</v>
      </c>
      <c r="B3">
        <v>9</v>
      </c>
      <c r="C3">
        <v>12.4</v>
      </c>
      <c r="D3">
        <v>10.4</v>
      </c>
      <c r="E3">
        <v>10.199999999999999</v>
      </c>
      <c r="F3">
        <v>736510</v>
      </c>
      <c r="G3">
        <v>9.3000000000000007</v>
      </c>
      <c r="H3">
        <v>12.3</v>
      </c>
      <c r="I3">
        <v>12.1</v>
      </c>
      <c r="J3">
        <v>10.7</v>
      </c>
      <c r="K3">
        <v>14.6</v>
      </c>
      <c r="L3">
        <v>7.2</v>
      </c>
      <c r="M3">
        <v>7</v>
      </c>
      <c r="N3">
        <v>7.4</v>
      </c>
    </row>
    <row r="4" spans="1:14">
      <c r="A4" t="s">
        <v>9</v>
      </c>
      <c r="B4">
        <v>11.8</v>
      </c>
      <c r="C4">
        <v>16</v>
      </c>
      <c r="D4">
        <v>12.4</v>
      </c>
      <c r="E4">
        <v>12.2</v>
      </c>
      <c r="F4">
        <v>7473027</v>
      </c>
      <c r="G4">
        <v>12</v>
      </c>
      <c r="H4">
        <v>16.2</v>
      </c>
      <c r="I4">
        <v>15.4</v>
      </c>
      <c r="J4">
        <v>14.8</v>
      </c>
      <c r="K4">
        <v>19.7</v>
      </c>
      <c r="L4">
        <v>11.4</v>
      </c>
      <c r="M4">
        <v>11</v>
      </c>
      <c r="N4">
        <v>14</v>
      </c>
    </row>
    <row r="5" spans="1:14">
      <c r="A5" t="s">
        <v>11</v>
      </c>
      <c r="B5">
        <v>16.3</v>
      </c>
      <c r="C5">
        <v>14.6</v>
      </c>
      <c r="D5">
        <v>15.7</v>
      </c>
      <c r="E5">
        <v>15.5</v>
      </c>
      <c r="F5">
        <v>3069463</v>
      </c>
      <c r="G5">
        <v>16.399999999999999</v>
      </c>
      <c r="H5">
        <v>14.7</v>
      </c>
      <c r="I5">
        <v>20.9</v>
      </c>
      <c r="J5">
        <v>22</v>
      </c>
      <c r="K5">
        <v>19.399999999999999</v>
      </c>
      <c r="L5">
        <v>12.1</v>
      </c>
      <c r="M5">
        <v>11.8</v>
      </c>
      <c r="N5">
        <v>12.4</v>
      </c>
    </row>
    <row r="6" spans="1:14">
      <c r="A6" t="s">
        <v>13</v>
      </c>
      <c r="B6">
        <v>11.6</v>
      </c>
      <c r="C6">
        <v>11.9</v>
      </c>
      <c r="D6">
        <v>12</v>
      </c>
      <c r="E6">
        <v>11.6</v>
      </c>
      <c r="F6">
        <v>39198693</v>
      </c>
      <c r="G6">
        <v>12</v>
      </c>
      <c r="H6">
        <v>12.2</v>
      </c>
      <c r="I6">
        <v>14.9</v>
      </c>
      <c r="J6">
        <v>14.9</v>
      </c>
      <c r="K6">
        <v>15.2</v>
      </c>
      <c r="L6">
        <v>12</v>
      </c>
      <c r="M6">
        <v>12.1</v>
      </c>
      <c r="N6">
        <v>10.5</v>
      </c>
    </row>
    <row r="7" spans="1:14">
      <c r="A7" t="s">
        <v>15</v>
      </c>
      <c r="B7">
        <v>9.3000000000000007</v>
      </c>
      <c r="C7">
        <v>8.3000000000000007</v>
      </c>
      <c r="D7">
        <v>9.3000000000000007</v>
      </c>
      <c r="E7">
        <v>9.1999999999999993</v>
      </c>
      <c r="F7">
        <v>5901339</v>
      </c>
      <c r="G7">
        <v>9.5</v>
      </c>
      <c r="H7">
        <v>8.5</v>
      </c>
      <c r="I7">
        <v>10.7</v>
      </c>
      <c r="J7">
        <v>10.9</v>
      </c>
      <c r="K7">
        <v>9.4</v>
      </c>
      <c r="L7">
        <v>9.1999999999999993</v>
      </c>
      <c r="M7">
        <v>9.1999999999999993</v>
      </c>
      <c r="N7">
        <v>9.5</v>
      </c>
    </row>
    <row r="8" spans="1:14">
      <c r="A8" t="s">
        <v>17</v>
      </c>
      <c r="B8">
        <v>11.1</v>
      </c>
      <c r="C8">
        <v>4</v>
      </c>
      <c r="D8">
        <v>10.3</v>
      </c>
      <c r="E8">
        <v>10.1</v>
      </c>
      <c r="F8">
        <v>3643023</v>
      </c>
      <c r="G8">
        <v>11.3</v>
      </c>
      <c r="H8">
        <v>4.2</v>
      </c>
      <c r="I8">
        <v>13.3</v>
      </c>
      <c r="J8">
        <v>15</v>
      </c>
      <c r="K8">
        <v>3.1</v>
      </c>
      <c r="L8">
        <v>9.4</v>
      </c>
      <c r="M8">
        <v>10.3</v>
      </c>
      <c r="N8">
        <v>4.9000000000000004</v>
      </c>
    </row>
    <row r="9" spans="1:14">
      <c r="A9" t="s">
        <v>20</v>
      </c>
      <c r="B9">
        <v>10.8</v>
      </c>
      <c r="C9">
        <v>8.6</v>
      </c>
      <c r="D9">
        <v>10.5</v>
      </c>
      <c r="E9">
        <v>10.4</v>
      </c>
      <c r="F9">
        <v>1036423</v>
      </c>
      <c r="G9">
        <v>10.9</v>
      </c>
      <c r="H9">
        <v>8.6</v>
      </c>
      <c r="I9">
        <v>15.2</v>
      </c>
      <c r="J9">
        <v>16.600000000000001</v>
      </c>
      <c r="K9">
        <v>8.5</v>
      </c>
      <c r="L9">
        <v>7.9</v>
      </c>
      <c r="M9">
        <v>7.9</v>
      </c>
      <c r="N9">
        <v>8</v>
      </c>
    </row>
    <row r="10" spans="1:14">
      <c r="A10" t="s">
        <v>107</v>
      </c>
      <c r="B10">
        <v>13.3</v>
      </c>
      <c r="D10">
        <v>14</v>
      </c>
      <c r="E10">
        <v>13.3</v>
      </c>
      <c r="F10">
        <v>687324</v>
      </c>
      <c r="G10">
        <v>14</v>
      </c>
      <c r="I10">
        <v>17.100000000000001</v>
      </c>
      <c r="J10">
        <v>17.100000000000001</v>
      </c>
      <c r="L10">
        <v>17.7</v>
      </c>
      <c r="M10">
        <v>17.7</v>
      </c>
    </row>
    <row r="11" spans="1:14">
      <c r="A11" t="s">
        <v>22</v>
      </c>
      <c r="B11">
        <v>12.1</v>
      </c>
      <c r="C11">
        <v>12.6</v>
      </c>
      <c r="D11">
        <v>12.3</v>
      </c>
      <c r="E11">
        <v>12.2</v>
      </c>
      <c r="F11">
        <v>22904868</v>
      </c>
      <c r="G11">
        <v>12.3</v>
      </c>
      <c r="H11">
        <v>12.9</v>
      </c>
      <c r="I11">
        <v>15.7</v>
      </c>
      <c r="J11">
        <v>15.7</v>
      </c>
      <c r="K11">
        <v>15.8</v>
      </c>
      <c r="L11">
        <v>12.1</v>
      </c>
      <c r="M11">
        <v>12.1</v>
      </c>
      <c r="N11">
        <v>11.8</v>
      </c>
    </row>
    <row r="12" spans="1:14">
      <c r="A12" t="s">
        <v>24</v>
      </c>
      <c r="B12">
        <v>13.6</v>
      </c>
      <c r="C12">
        <v>13.2</v>
      </c>
      <c r="D12">
        <v>13.6</v>
      </c>
      <c r="E12">
        <v>13.5</v>
      </c>
      <c r="F12">
        <v>11064432</v>
      </c>
      <c r="G12">
        <v>13.7</v>
      </c>
      <c r="H12">
        <v>13.3</v>
      </c>
      <c r="I12">
        <v>18.399999999999999</v>
      </c>
      <c r="J12">
        <v>18.5</v>
      </c>
      <c r="K12">
        <v>18.100000000000001</v>
      </c>
      <c r="L12">
        <v>12.1</v>
      </c>
      <c r="M12">
        <v>12.1</v>
      </c>
      <c r="N12">
        <v>12</v>
      </c>
    </row>
    <row r="13" spans="1:14">
      <c r="A13" t="s">
        <v>26</v>
      </c>
      <c r="B13">
        <v>8.8000000000000007</v>
      </c>
      <c r="C13">
        <v>14.4</v>
      </c>
      <c r="D13">
        <v>10.1</v>
      </c>
      <c r="E13">
        <v>9.6</v>
      </c>
      <c r="F13">
        <v>1441387</v>
      </c>
      <c r="G13">
        <v>9.4</v>
      </c>
      <c r="H13">
        <v>14.8</v>
      </c>
      <c r="I13">
        <v>11.4</v>
      </c>
      <c r="J13">
        <v>10.3</v>
      </c>
      <c r="K13">
        <v>17.100000000000001</v>
      </c>
      <c r="L13">
        <v>10.1</v>
      </c>
      <c r="M13">
        <v>9.6999999999999993</v>
      </c>
      <c r="N13">
        <v>12.4</v>
      </c>
    </row>
    <row r="14" spans="1:14">
      <c r="A14" t="s">
        <v>28</v>
      </c>
      <c r="B14">
        <v>10.5</v>
      </c>
      <c r="C14">
        <v>8.6</v>
      </c>
      <c r="D14">
        <v>10.1</v>
      </c>
      <c r="E14">
        <v>9.9</v>
      </c>
      <c r="F14">
        <v>1971122</v>
      </c>
      <c r="G14">
        <v>10.7</v>
      </c>
      <c r="H14">
        <v>8.8000000000000007</v>
      </c>
      <c r="I14">
        <v>11.5</v>
      </c>
      <c r="J14">
        <v>12.3</v>
      </c>
      <c r="K14">
        <v>9.6999999999999993</v>
      </c>
      <c r="L14">
        <v>9.5</v>
      </c>
      <c r="M14">
        <v>9.3000000000000007</v>
      </c>
      <c r="N14">
        <v>9.8000000000000007</v>
      </c>
    </row>
    <row r="15" spans="1:14">
      <c r="A15" t="s">
        <v>30</v>
      </c>
      <c r="B15">
        <v>11.8</v>
      </c>
      <c r="C15">
        <v>9</v>
      </c>
      <c r="D15">
        <v>11.6</v>
      </c>
      <c r="E15">
        <v>11.5</v>
      </c>
      <c r="F15">
        <v>12642259</v>
      </c>
      <c r="G15">
        <v>12</v>
      </c>
      <c r="H15">
        <v>9.1999999999999993</v>
      </c>
      <c r="I15">
        <v>14.7</v>
      </c>
      <c r="J15">
        <v>15.1</v>
      </c>
      <c r="K15">
        <v>11.8</v>
      </c>
      <c r="L15">
        <v>10.6</v>
      </c>
      <c r="M15">
        <v>11.1</v>
      </c>
      <c r="N15">
        <v>7.8</v>
      </c>
    </row>
    <row r="16" spans="1:14">
      <c r="A16" t="s">
        <v>33</v>
      </c>
      <c r="B16">
        <v>13.8</v>
      </c>
      <c r="C16">
        <v>8.3000000000000007</v>
      </c>
      <c r="D16">
        <v>12.3</v>
      </c>
      <c r="E16">
        <v>12.2</v>
      </c>
      <c r="F16">
        <v>6880131</v>
      </c>
      <c r="G16">
        <v>14</v>
      </c>
      <c r="H16">
        <v>8.3000000000000007</v>
      </c>
      <c r="I16">
        <v>15.4</v>
      </c>
      <c r="J16">
        <v>17.600000000000001</v>
      </c>
      <c r="K16">
        <v>10</v>
      </c>
      <c r="L16">
        <v>9.8000000000000007</v>
      </c>
      <c r="M16">
        <v>10.9</v>
      </c>
      <c r="N16">
        <v>7.6</v>
      </c>
    </row>
    <row r="17" spans="1:14">
      <c r="A17" t="s">
        <v>35</v>
      </c>
      <c r="B17">
        <v>12.8</v>
      </c>
      <c r="C17">
        <v>8.3000000000000007</v>
      </c>
      <c r="D17">
        <v>11.3</v>
      </c>
      <c r="E17">
        <v>11.1</v>
      </c>
      <c r="F17">
        <v>3218414</v>
      </c>
      <c r="G17">
        <v>13.1</v>
      </c>
      <c r="H17">
        <v>8.4</v>
      </c>
      <c r="I17">
        <v>13.6</v>
      </c>
      <c r="J17">
        <v>15.4</v>
      </c>
      <c r="K17">
        <v>10.7</v>
      </c>
      <c r="L17">
        <v>9.4</v>
      </c>
      <c r="M17">
        <v>10.5</v>
      </c>
      <c r="N17">
        <v>8</v>
      </c>
    </row>
    <row r="18" spans="1:14">
      <c r="A18" t="s">
        <v>37</v>
      </c>
      <c r="B18">
        <v>11.7</v>
      </c>
      <c r="C18">
        <v>9.1999999999999993</v>
      </c>
      <c r="D18">
        <v>11.2</v>
      </c>
      <c r="E18">
        <v>11</v>
      </c>
      <c r="F18">
        <v>2951500</v>
      </c>
      <c r="G18">
        <v>11.9</v>
      </c>
      <c r="H18">
        <v>9.4</v>
      </c>
      <c r="I18">
        <v>13.2</v>
      </c>
      <c r="J18">
        <v>13.8</v>
      </c>
      <c r="K18">
        <v>11.6</v>
      </c>
      <c r="L18">
        <v>9.3000000000000007</v>
      </c>
      <c r="M18">
        <v>9.5</v>
      </c>
      <c r="N18">
        <v>8.8000000000000007</v>
      </c>
    </row>
    <row r="19" spans="1:14">
      <c r="A19" t="s">
        <v>39</v>
      </c>
      <c r="B19">
        <v>15.7</v>
      </c>
      <c r="C19">
        <v>16.899999999999999</v>
      </c>
      <c r="D19">
        <v>16.399999999999999</v>
      </c>
      <c r="E19">
        <v>16.2</v>
      </c>
      <c r="F19">
        <v>4550595</v>
      </c>
      <c r="G19">
        <v>15.9</v>
      </c>
      <c r="H19">
        <v>17.100000000000001</v>
      </c>
      <c r="I19">
        <v>21</v>
      </c>
      <c r="J19">
        <v>21.2</v>
      </c>
      <c r="K19">
        <v>20.8</v>
      </c>
      <c r="L19">
        <v>12.9</v>
      </c>
      <c r="M19">
        <v>11.6</v>
      </c>
      <c r="N19">
        <v>14.4</v>
      </c>
    </row>
    <row r="20" spans="1:14">
      <c r="A20" t="s">
        <v>41</v>
      </c>
      <c r="B20">
        <v>19.5</v>
      </c>
      <c r="C20">
        <v>17</v>
      </c>
      <c r="D20">
        <v>18.899999999999999</v>
      </c>
      <c r="E20">
        <v>18.7</v>
      </c>
      <c r="F20">
        <v>4588071</v>
      </c>
      <c r="G20">
        <v>19.600000000000001</v>
      </c>
      <c r="H20">
        <v>17.100000000000001</v>
      </c>
      <c r="I20">
        <v>25</v>
      </c>
      <c r="J20">
        <v>26.3</v>
      </c>
      <c r="K20">
        <v>22.2</v>
      </c>
      <c r="L20">
        <v>14.2</v>
      </c>
      <c r="M20">
        <v>14.1</v>
      </c>
      <c r="N20">
        <v>14.5</v>
      </c>
    </row>
    <row r="21" spans="1:14">
      <c r="A21" t="s">
        <v>43</v>
      </c>
      <c r="B21">
        <v>11.6</v>
      </c>
      <c r="C21">
        <v>9.1999999999999993</v>
      </c>
      <c r="D21">
        <v>10.4</v>
      </c>
      <c r="E21">
        <v>10.1</v>
      </c>
      <c r="F21">
        <v>1399646</v>
      </c>
      <c r="G21">
        <v>11.9</v>
      </c>
      <c r="H21">
        <v>9.4</v>
      </c>
      <c r="I21">
        <v>12.6</v>
      </c>
      <c r="J21">
        <v>15.4</v>
      </c>
      <c r="K21">
        <v>11</v>
      </c>
      <c r="L21">
        <v>9.4</v>
      </c>
      <c r="M21">
        <v>10</v>
      </c>
      <c r="N21">
        <v>9.1</v>
      </c>
    </row>
    <row r="22" spans="1:14">
      <c r="A22" t="s">
        <v>45</v>
      </c>
      <c r="B22">
        <v>9.8000000000000007</v>
      </c>
      <c r="C22">
        <v>6.2</v>
      </c>
      <c r="D22">
        <v>9.5</v>
      </c>
      <c r="E22">
        <v>9.3000000000000007</v>
      </c>
      <c r="F22">
        <v>6217062</v>
      </c>
      <c r="G22">
        <v>10</v>
      </c>
      <c r="H22">
        <v>6.4</v>
      </c>
      <c r="I22">
        <v>10.6</v>
      </c>
      <c r="J22">
        <v>11.5</v>
      </c>
      <c r="K22">
        <v>5.4</v>
      </c>
      <c r="L22">
        <v>9.5</v>
      </c>
      <c r="M22">
        <v>9.5</v>
      </c>
      <c r="N22">
        <v>9.5</v>
      </c>
    </row>
    <row r="23" spans="1:14">
      <c r="A23" t="s">
        <v>47</v>
      </c>
      <c r="B23">
        <v>10.6</v>
      </c>
      <c r="C23">
        <v>5.3</v>
      </c>
      <c r="D23">
        <v>10.4</v>
      </c>
      <c r="E23">
        <v>10.1</v>
      </c>
      <c r="F23">
        <v>7066568</v>
      </c>
      <c r="G23">
        <v>10.9</v>
      </c>
      <c r="H23">
        <v>5.6</v>
      </c>
      <c r="I23">
        <v>12.6</v>
      </c>
      <c r="J23">
        <v>13.3</v>
      </c>
      <c r="K23">
        <v>5.3</v>
      </c>
      <c r="L23">
        <v>10.8</v>
      </c>
      <c r="M23">
        <v>11.2</v>
      </c>
      <c r="N23">
        <v>7</v>
      </c>
    </row>
    <row r="24" spans="1:14">
      <c r="A24" t="s">
        <v>49</v>
      </c>
      <c r="B24">
        <v>14.6</v>
      </c>
      <c r="C24">
        <v>10</v>
      </c>
      <c r="D24">
        <v>13.5</v>
      </c>
      <c r="E24">
        <v>13.3</v>
      </c>
      <c r="F24">
        <v>10083356</v>
      </c>
      <c r="G24">
        <v>14.7</v>
      </c>
      <c r="H24">
        <v>10.199999999999999</v>
      </c>
      <c r="I24">
        <v>17.600000000000001</v>
      </c>
      <c r="J24">
        <v>19.3</v>
      </c>
      <c r="K24">
        <v>12.8</v>
      </c>
      <c r="L24">
        <v>10.6</v>
      </c>
      <c r="M24">
        <v>11.4</v>
      </c>
      <c r="N24">
        <v>8.8000000000000007</v>
      </c>
    </row>
    <row r="25" spans="1:14">
      <c r="A25" t="s">
        <v>51</v>
      </c>
      <c r="B25">
        <v>9.4</v>
      </c>
      <c r="C25">
        <v>7.6</v>
      </c>
      <c r="D25">
        <v>9.3000000000000007</v>
      </c>
      <c r="E25">
        <v>8.9</v>
      </c>
      <c r="F25">
        <v>5753048</v>
      </c>
      <c r="G25">
        <v>9.9</v>
      </c>
      <c r="H25">
        <v>7.8</v>
      </c>
      <c r="I25">
        <v>10.1</v>
      </c>
      <c r="J25">
        <v>10.8</v>
      </c>
      <c r="K25">
        <v>8.6</v>
      </c>
      <c r="L25">
        <v>9.5</v>
      </c>
      <c r="M25">
        <v>9.8000000000000007</v>
      </c>
      <c r="N25">
        <v>9</v>
      </c>
    </row>
    <row r="26" spans="1:14">
      <c r="A26" t="s">
        <v>53</v>
      </c>
      <c r="B26">
        <v>18.899999999999999</v>
      </c>
      <c r="C26">
        <v>17.100000000000001</v>
      </c>
      <c r="D26">
        <v>18</v>
      </c>
      <c r="E26">
        <v>17.899999999999999</v>
      </c>
      <c r="F26">
        <v>2943172</v>
      </c>
      <c r="G26">
        <v>19</v>
      </c>
      <c r="H26">
        <v>17.2</v>
      </c>
      <c r="I26">
        <v>23.2</v>
      </c>
      <c r="J26">
        <v>24.6</v>
      </c>
      <c r="K26">
        <v>22.1</v>
      </c>
      <c r="L26">
        <v>15.8</v>
      </c>
      <c r="M26">
        <v>15.3</v>
      </c>
      <c r="N26">
        <v>16.2</v>
      </c>
    </row>
    <row r="27" spans="1:14">
      <c r="A27" t="s">
        <v>55</v>
      </c>
      <c r="B27">
        <v>11.9</v>
      </c>
      <c r="C27">
        <v>11.4</v>
      </c>
      <c r="D27">
        <v>12</v>
      </c>
      <c r="E27">
        <v>11.8</v>
      </c>
      <c r="F27">
        <v>6208038</v>
      </c>
      <c r="G27">
        <v>12.1</v>
      </c>
      <c r="H27">
        <v>11.6</v>
      </c>
      <c r="I27">
        <v>14.4</v>
      </c>
      <c r="J27">
        <v>14.4</v>
      </c>
      <c r="K27">
        <v>14.4</v>
      </c>
      <c r="L27">
        <v>10.8</v>
      </c>
      <c r="M27">
        <v>11.1</v>
      </c>
      <c r="N27">
        <v>10.3</v>
      </c>
    </row>
    <row r="28" spans="1:14">
      <c r="A28" t="s">
        <v>57</v>
      </c>
      <c r="B28">
        <v>11.9</v>
      </c>
      <c r="C28">
        <v>10.8</v>
      </c>
      <c r="D28">
        <v>11.7</v>
      </c>
      <c r="E28">
        <v>11.4</v>
      </c>
      <c r="F28">
        <v>1131302</v>
      </c>
      <c r="G28">
        <v>12.2</v>
      </c>
      <c r="H28">
        <v>11.2</v>
      </c>
      <c r="I28">
        <v>12.2</v>
      </c>
      <c r="J28">
        <v>10.4</v>
      </c>
      <c r="K28">
        <v>13.9</v>
      </c>
      <c r="L28">
        <v>9.5</v>
      </c>
      <c r="M28">
        <v>9.9</v>
      </c>
      <c r="N28">
        <v>9.1999999999999993</v>
      </c>
    </row>
    <row r="29" spans="1:14">
      <c r="A29" t="s">
        <v>59</v>
      </c>
      <c r="B29">
        <v>11.2</v>
      </c>
      <c r="C29">
        <v>8</v>
      </c>
      <c r="D29">
        <v>10.5</v>
      </c>
      <c r="E29">
        <v>10.3</v>
      </c>
      <c r="F29">
        <v>1987864</v>
      </c>
      <c r="G29">
        <v>11.4</v>
      </c>
      <c r="H29">
        <v>8.1</v>
      </c>
      <c r="I29">
        <v>11.1</v>
      </c>
      <c r="J29">
        <v>11.9</v>
      </c>
      <c r="K29">
        <v>9.1999999999999993</v>
      </c>
      <c r="L29">
        <v>10.3</v>
      </c>
      <c r="M29">
        <v>11.3</v>
      </c>
      <c r="N29">
        <v>8.4</v>
      </c>
    </row>
    <row r="30" spans="1:14">
      <c r="A30" t="s">
        <v>61</v>
      </c>
      <c r="B30">
        <v>12.1</v>
      </c>
      <c r="C30">
        <v>9.3000000000000007</v>
      </c>
      <c r="D30">
        <v>12</v>
      </c>
      <c r="E30">
        <v>11.9</v>
      </c>
      <c r="F30">
        <v>3214363</v>
      </c>
      <c r="G30">
        <v>12.1</v>
      </c>
      <c r="H30">
        <v>9.3000000000000007</v>
      </c>
      <c r="I30">
        <v>16.100000000000001</v>
      </c>
      <c r="J30">
        <v>16.399999999999999</v>
      </c>
      <c r="K30">
        <v>11.7</v>
      </c>
      <c r="L30">
        <v>10.4</v>
      </c>
      <c r="M30">
        <v>10.5</v>
      </c>
      <c r="N30">
        <v>9.5</v>
      </c>
    </row>
    <row r="31" spans="1:14">
      <c r="A31" t="s">
        <v>63</v>
      </c>
      <c r="B31">
        <v>7.3</v>
      </c>
      <c r="C31">
        <v>6.6</v>
      </c>
      <c r="D31">
        <v>7.2</v>
      </c>
      <c r="E31">
        <v>7</v>
      </c>
      <c r="F31">
        <v>1402199</v>
      </c>
      <c r="G31">
        <v>7.5</v>
      </c>
      <c r="H31">
        <v>6.8</v>
      </c>
      <c r="I31">
        <v>8</v>
      </c>
      <c r="J31">
        <v>8.5</v>
      </c>
      <c r="K31">
        <v>7.4</v>
      </c>
      <c r="L31">
        <v>7.6</v>
      </c>
      <c r="M31">
        <v>8.4</v>
      </c>
      <c r="N31">
        <v>6.6</v>
      </c>
    </row>
    <row r="32" spans="1:14">
      <c r="A32" t="s">
        <v>65</v>
      </c>
      <c r="B32">
        <v>9.8000000000000007</v>
      </c>
      <c r="C32">
        <v>6.2</v>
      </c>
      <c r="D32">
        <v>9.6999999999999993</v>
      </c>
      <c r="E32">
        <v>9.5</v>
      </c>
      <c r="F32">
        <v>9379642</v>
      </c>
      <c r="G32">
        <v>9.9</v>
      </c>
      <c r="H32">
        <v>6.5</v>
      </c>
      <c r="I32">
        <v>12.9</v>
      </c>
      <c r="J32">
        <v>13.2</v>
      </c>
      <c r="K32">
        <v>7.2</v>
      </c>
      <c r="L32">
        <v>10.1</v>
      </c>
      <c r="M32">
        <v>10.4</v>
      </c>
      <c r="N32">
        <v>6.3</v>
      </c>
    </row>
    <row r="33" spans="1:14">
      <c r="A33" t="s">
        <v>67</v>
      </c>
      <c r="B33">
        <v>17.100000000000001</v>
      </c>
      <c r="C33">
        <v>19.2</v>
      </c>
      <c r="D33">
        <v>17.8</v>
      </c>
      <c r="E33">
        <v>17.600000000000001</v>
      </c>
      <c r="F33">
        <v>2121164</v>
      </c>
      <c r="G33">
        <v>17.2</v>
      </c>
      <c r="H33">
        <v>19.399999999999999</v>
      </c>
      <c r="I33">
        <v>25.3</v>
      </c>
      <c r="J33">
        <v>23.4</v>
      </c>
      <c r="K33">
        <v>31.3</v>
      </c>
      <c r="L33">
        <v>13.7</v>
      </c>
      <c r="M33">
        <v>14</v>
      </c>
      <c r="N33">
        <v>12.9</v>
      </c>
    </row>
    <row r="34" spans="1:14">
      <c r="A34" t="s">
        <v>69</v>
      </c>
      <c r="B34">
        <v>14.3</v>
      </c>
      <c r="C34">
        <v>9.4</v>
      </c>
      <c r="D34">
        <v>14.2</v>
      </c>
      <c r="E34">
        <v>13.7</v>
      </c>
      <c r="F34">
        <v>19737367</v>
      </c>
      <c r="G34">
        <v>14.8</v>
      </c>
      <c r="H34">
        <v>10.1</v>
      </c>
      <c r="I34">
        <v>18.600000000000001</v>
      </c>
      <c r="J34">
        <v>19.5</v>
      </c>
      <c r="K34">
        <v>12.2</v>
      </c>
      <c r="L34">
        <v>14.3</v>
      </c>
      <c r="M34">
        <v>15.4</v>
      </c>
      <c r="N34">
        <v>8</v>
      </c>
    </row>
    <row r="35" spans="1:14">
      <c r="A35" t="s">
        <v>71</v>
      </c>
      <c r="B35">
        <v>12.7</v>
      </c>
      <c r="C35">
        <v>12.6</v>
      </c>
      <c r="D35">
        <v>12.8</v>
      </c>
      <c r="E35">
        <v>12.7</v>
      </c>
      <c r="F35">
        <v>10881189</v>
      </c>
      <c r="G35">
        <v>12.8</v>
      </c>
      <c r="H35">
        <v>12.7</v>
      </c>
      <c r="I35">
        <v>17.600000000000001</v>
      </c>
      <c r="J35">
        <v>18</v>
      </c>
      <c r="K35">
        <v>16.8</v>
      </c>
      <c r="L35">
        <v>10.9</v>
      </c>
      <c r="M35">
        <v>10.7</v>
      </c>
      <c r="N35">
        <v>11.3</v>
      </c>
    </row>
    <row r="36" spans="1:14">
      <c r="A36" t="s">
        <v>73</v>
      </c>
      <c r="B36">
        <v>10.199999999999999</v>
      </c>
      <c r="C36">
        <v>8.6</v>
      </c>
      <c r="D36">
        <v>9.8000000000000007</v>
      </c>
      <c r="E36">
        <v>9.6</v>
      </c>
      <c r="F36">
        <v>789047</v>
      </c>
      <c r="G36">
        <v>10.4</v>
      </c>
      <c r="H36">
        <v>8.8000000000000007</v>
      </c>
      <c r="I36">
        <v>8.6999999999999993</v>
      </c>
      <c r="J36">
        <v>8</v>
      </c>
      <c r="K36">
        <v>9.6</v>
      </c>
      <c r="L36">
        <v>10.9</v>
      </c>
      <c r="M36">
        <v>10.3</v>
      </c>
      <c r="N36">
        <v>11.5</v>
      </c>
    </row>
    <row r="37" spans="1:14">
      <c r="A37" t="s">
        <v>75</v>
      </c>
      <c r="B37">
        <v>14.3</v>
      </c>
      <c r="C37">
        <v>9.5</v>
      </c>
      <c r="D37">
        <v>13.3</v>
      </c>
      <c r="E37">
        <v>13.2</v>
      </c>
      <c r="F37">
        <v>11824034</v>
      </c>
      <c r="G37">
        <v>14.5</v>
      </c>
      <c r="H37">
        <v>9.6</v>
      </c>
      <c r="I37">
        <v>17.7</v>
      </c>
      <c r="J37">
        <v>19.399999999999999</v>
      </c>
      <c r="K37">
        <v>12.6</v>
      </c>
      <c r="L37">
        <v>10.7</v>
      </c>
      <c r="M37">
        <v>11.4</v>
      </c>
      <c r="N37">
        <v>8.6</v>
      </c>
    </row>
    <row r="38" spans="1:14">
      <c r="A38" t="s">
        <v>77</v>
      </c>
      <c r="B38">
        <v>16.5</v>
      </c>
      <c r="C38">
        <v>14.5</v>
      </c>
      <c r="D38">
        <v>15.9</v>
      </c>
      <c r="E38">
        <v>15.8</v>
      </c>
      <c r="F38">
        <v>4063882</v>
      </c>
      <c r="G38">
        <v>16.600000000000001</v>
      </c>
      <c r="H38">
        <v>14.6</v>
      </c>
      <c r="I38">
        <v>20.8</v>
      </c>
      <c r="J38">
        <v>22.2</v>
      </c>
      <c r="K38">
        <v>18.100000000000001</v>
      </c>
      <c r="L38">
        <v>11.7</v>
      </c>
      <c r="M38">
        <v>11.3</v>
      </c>
      <c r="N38">
        <v>12.4</v>
      </c>
    </row>
    <row r="39" spans="1:14">
      <c r="A39" t="s">
        <v>79</v>
      </c>
      <c r="B39">
        <v>11.8</v>
      </c>
      <c r="C39">
        <v>11.3</v>
      </c>
      <c r="D39">
        <v>12.2</v>
      </c>
      <c r="E39">
        <v>11.7</v>
      </c>
      <c r="F39">
        <v>4253653</v>
      </c>
      <c r="G39">
        <v>12.3</v>
      </c>
      <c r="H39">
        <v>11.6</v>
      </c>
      <c r="I39">
        <v>13.6</v>
      </c>
      <c r="J39">
        <v>13.7</v>
      </c>
      <c r="K39">
        <v>13.3</v>
      </c>
      <c r="L39">
        <v>10.6</v>
      </c>
      <c r="M39">
        <v>10.9</v>
      </c>
      <c r="N39">
        <v>10</v>
      </c>
    </row>
    <row r="40" spans="1:14">
      <c r="A40" t="s">
        <v>81</v>
      </c>
      <c r="B40">
        <v>12.5</v>
      </c>
      <c r="C40">
        <v>9.4</v>
      </c>
      <c r="D40">
        <v>12</v>
      </c>
      <c r="E40">
        <v>11.8</v>
      </c>
      <c r="F40">
        <v>13017721</v>
      </c>
      <c r="G40">
        <v>12.7</v>
      </c>
      <c r="H40">
        <v>9.6</v>
      </c>
      <c r="I40">
        <v>15.7</v>
      </c>
      <c r="J40">
        <v>16.7</v>
      </c>
      <c r="K40">
        <v>12.1</v>
      </c>
      <c r="L40">
        <v>10.4</v>
      </c>
      <c r="M40">
        <v>11</v>
      </c>
      <c r="N40">
        <v>8.8000000000000007</v>
      </c>
    </row>
    <row r="41" spans="1:14">
      <c r="A41" t="s">
        <v>83</v>
      </c>
      <c r="B41">
        <v>11.1</v>
      </c>
      <c r="C41">
        <v>5</v>
      </c>
      <c r="D41">
        <v>10.8</v>
      </c>
      <c r="E41">
        <v>10.5</v>
      </c>
      <c r="F41">
        <v>1103429</v>
      </c>
      <c r="G41">
        <v>11.4</v>
      </c>
      <c r="H41">
        <v>5.8</v>
      </c>
      <c r="I41">
        <v>13.4</v>
      </c>
      <c r="J41">
        <v>14.3</v>
      </c>
      <c r="K41">
        <v>5.5</v>
      </c>
      <c r="L41">
        <v>11.8</v>
      </c>
      <c r="M41">
        <v>12.3</v>
      </c>
      <c r="N41">
        <v>8.1</v>
      </c>
    </row>
    <row r="42" spans="1:14">
      <c r="A42" t="s">
        <v>85</v>
      </c>
      <c r="B42">
        <v>13</v>
      </c>
      <c r="C42">
        <v>15.3</v>
      </c>
      <c r="D42">
        <v>13.9</v>
      </c>
      <c r="E42">
        <v>13.7</v>
      </c>
      <c r="F42">
        <v>5387830</v>
      </c>
      <c r="G42">
        <v>13.2</v>
      </c>
      <c r="H42">
        <v>15.5</v>
      </c>
      <c r="I42">
        <v>19.100000000000001</v>
      </c>
      <c r="J42">
        <v>17.600000000000001</v>
      </c>
      <c r="K42">
        <v>22.5</v>
      </c>
      <c r="L42">
        <v>11</v>
      </c>
      <c r="M42">
        <v>9.8000000000000007</v>
      </c>
      <c r="N42">
        <v>13.2</v>
      </c>
    </row>
    <row r="43" spans="1:14">
      <c r="A43" t="s">
        <v>87</v>
      </c>
      <c r="B43">
        <v>11</v>
      </c>
      <c r="C43">
        <v>12.2</v>
      </c>
      <c r="D43">
        <v>11.8</v>
      </c>
      <c r="E43">
        <v>11.5</v>
      </c>
      <c r="F43">
        <v>918305</v>
      </c>
      <c r="G43">
        <v>11.3</v>
      </c>
      <c r="H43">
        <v>12.4</v>
      </c>
      <c r="I43">
        <v>14.6</v>
      </c>
      <c r="J43">
        <v>14</v>
      </c>
      <c r="K43">
        <v>15.3</v>
      </c>
      <c r="L43">
        <v>8.8000000000000007</v>
      </c>
      <c r="M43">
        <v>8.8000000000000007</v>
      </c>
      <c r="N43">
        <v>8.9</v>
      </c>
    </row>
    <row r="44" spans="1:14">
      <c r="A44" t="s">
        <v>89</v>
      </c>
      <c r="B44">
        <v>14.3</v>
      </c>
      <c r="C44">
        <v>13.3</v>
      </c>
      <c r="D44">
        <v>14</v>
      </c>
      <c r="E44">
        <v>13.9</v>
      </c>
      <c r="F44">
        <v>7148304</v>
      </c>
      <c r="G44">
        <v>14.4</v>
      </c>
      <c r="H44">
        <v>13.3</v>
      </c>
      <c r="I44">
        <v>19.7</v>
      </c>
      <c r="J44">
        <v>20.7</v>
      </c>
      <c r="K44">
        <v>17.899999999999999</v>
      </c>
      <c r="L44">
        <v>12.2</v>
      </c>
      <c r="M44">
        <v>12.2</v>
      </c>
      <c r="N44">
        <v>12.2</v>
      </c>
    </row>
    <row r="45" spans="1:14">
      <c r="A45" t="s">
        <v>91</v>
      </c>
      <c r="B45">
        <v>13.9</v>
      </c>
      <c r="C45">
        <v>11.9</v>
      </c>
      <c r="D45">
        <v>13.7</v>
      </c>
      <c r="E45">
        <v>13.6</v>
      </c>
      <c r="F45">
        <v>30727890</v>
      </c>
      <c r="G45">
        <v>14</v>
      </c>
      <c r="H45">
        <v>12</v>
      </c>
      <c r="I45">
        <v>18.399999999999999</v>
      </c>
      <c r="J45">
        <v>19</v>
      </c>
      <c r="K45">
        <v>15.1</v>
      </c>
      <c r="L45">
        <v>12.3</v>
      </c>
      <c r="M45">
        <v>12.5</v>
      </c>
      <c r="N45">
        <v>11.3</v>
      </c>
    </row>
    <row r="46" spans="1:14">
      <c r="A46" t="s">
        <v>93</v>
      </c>
      <c r="B46">
        <v>9.1</v>
      </c>
      <c r="C46">
        <v>7.3</v>
      </c>
      <c r="D46">
        <v>9</v>
      </c>
      <c r="E46">
        <v>8.9</v>
      </c>
      <c r="F46">
        <v>3443222</v>
      </c>
      <c r="G46">
        <v>9.1999999999999993</v>
      </c>
      <c r="H46">
        <v>7.4</v>
      </c>
      <c r="I46">
        <v>9.5</v>
      </c>
      <c r="J46">
        <v>9.6</v>
      </c>
      <c r="K46">
        <v>8.6999999999999993</v>
      </c>
      <c r="L46">
        <v>8.1999999999999993</v>
      </c>
      <c r="M46">
        <v>8.3000000000000007</v>
      </c>
      <c r="N46">
        <v>7.8</v>
      </c>
    </row>
    <row r="47" spans="1:14">
      <c r="A47" t="s">
        <v>95</v>
      </c>
      <c r="B47">
        <v>10</v>
      </c>
      <c r="C47">
        <v>9</v>
      </c>
      <c r="D47">
        <v>9.6999999999999993</v>
      </c>
      <c r="E47">
        <v>9.3000000000000007</v>
      </c>
      <c r="F47">
        <v>648708</v>
      </c>
      <c r="G47">
        <v>10.6</v>
      </c>
      <c r="H47">
        <v>9.1999999999999993</v>
      </c>
      <c r="I47">
        <v>9</v>
      </c>
      <c r="J47">
        <v>6.3</v>
      </c>
      <c r="K47">
        <v>10</v>
      </c>
      <c r="L47">
        <v>9.6</v>
      </c>
      <c r="M47">
        <v>12.3</v>
      </c>
      <c r="N47">
        <v>8.5</v>
      </c>
    </row>
    <row r="48" spans="1:14">
      <c r="A48" t="s">
        <v>97</v>
      </c>
      <c r="B48">
        <v>10.1</v>
      </c>
      <c r="C48">
        <v>10.199999999999999</v>
      </c>
      <c r="D48">
        <v>10.199999999999999</v>
      </c>
      <c r="E48">
        <v>10.1</v>
      </c>
      <c r="F48">
        <v>8734685</v>
      </c>
      <c r="G48">
        <v>10.199999999999999</v>
      </c>
      <c r="H48">
        <v>10.3</v>
      </c>
      <c r="I48">
        <v>12.7</v>
      </c>
      <c r="J48">
        <v>12.8</v>
      </c>
      <c r="K48">
        <v>12.2</v>
      </c>
      <c r="L48">
        <v>9.5</v>
      </c>
      <c r="M48">
        <v>9.1</v>
      </c>
      <c r="N48">
        <v>10.3</v>
      </c>
    </row>
    <row r="49" spans="1:14">
      <c r="A49" t="s">
        <v>99</v>
      </c>
      <c r="B49">
        <v>10.199999999999999</v>
      </c>
      <c r="C49">
        <v>9.3000000000000007</v>
      </c>
      <c r="D49">
        <v>10.3</v>
      </c>
      <c r="E49">
        <v>10.1</v>
      </c>
      <c r="F49">
        <v>7857320</v>
      </c>
      <c r="G49">
        <v>10.5</v>
      </c>
      <c r="H49">
        <v>9.8000000000000007</v>
      </c>
      <c r="I49">
        <v>12.2</v>
      </c>
      <c r="J49">
        <v>12.5</v>
      </c>
      <c r="K49">
        <v>10.6</v>
      </c>
      <c r="L49">
        <v>9.6</v>
      </c>
      <c r="M49">
        <v>10</v>
      </c>
      <c r="N49">
        <v>8.3000000000000007</v>
      </c>
    </row>
    <row r="50" spans="1:14">
      <c r="A50" t="s">
        <v>101</v>
      </c>
      <c r="B50">
        <v>17.899999999999999</v>
      </c>
      <c r="C50">
        <v>15.4</v>
      </c>
      <c r="D50">
        <v>16.7</v>
      </c>
      <c r="E50">
        <v>16.5</v>
      </c>
      <c r="F50">
        <v>1770495</v>
      </c>
      <c r="G50">
        <v>18.2</v>
      </c>
      <c r="H50">
        <v>15.4</v>
      </c>
      <c r="I50">
        <v>20.100000000000001</v>
      </c>
      <c r="J50">
        <v>22.3</v>
      </c>
      <c r="K50">
        <v>18.399999999999999</v>
      </c>
      <c r="L50">
        <v>12</v>
      </c>
      <c r="M50">
        <v>12.7</v>
      </c>
      <c r="N50">
        <v>11.5</v>
      </c>
    </row>
    <row r="51" spans="1:14">
      <c r="A51" t="s">
        <v>103</v>
      </c>
      <c r="B51">
        <v>11.8</v>
      </c>
      <c r="C51">
        <v>7.9</v>
      </c>
      <c r="D51">
        <v>10.7</v>
      </c>
      <c r="E51">
        <v>10.4</v>
      </c>
      <c r="F51">
        <v>5930405</v>
      </c>
      <c r="G51">
        <v>12</v>
      </c>
      <c r="H51">
        <v>8.1</v>
      </c>
      <c r="I51">
        <v>12.8</v>
      </c>
      <c r="J51">
        <v>14.5</v>
      </c>
      <c r="K51">
        <v>9.5</v>
      </c>
      <c r="L51">
        <v>10</v>
      </c>
      <c r="M51">
        <v>10.8</v>
      </c>
      <c r="N51">
        <v>8.8000000000000007</v>
      </c>
    </row>
    <row r="52" spans="1:14">
      <c r="A52" t="s">
        <v>105</v>
      </c>
      <c r="B52">
        <v>13</v>
      </c>
      <c r="C52">
        <v>8.1</v>
      </c>
      <c r="D52">
        <v>11.3</v>
      </c>
      <c r="E52">
        <v>11.2</v>
      </c>
      <c r="F52">
        <v>585067</v>
      </c>
      <c r="G52">
        <v>13.1</v>
      </c>
      <c r="H52">
        <v>8.1999999999999993</v>
      </c>
      <c r="I52">
        <v>14.8</v>
      </c>
      <c r="J52">
        <v>17.7</v>
      </c>
      <c r="K52">
        <v>9.6</v>
      </c>
      <c r="L52">
        <v>7.4</v>
      </c>
      <c r="M52">
        <v>7</v>
      </c>
      <c r="N52">
        <v>7.9</v>
      </c>
    </row>
    <row r="65" spans="9:9">
      <c r="I65" t="s">
        <v>187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C531F-CDE0-41E6-8AA3-3E6D8737AD33}">
  <dimension ref="A1:F53"/>
  <sheetViews>
    <sheetView workbookViewId="0">
      <selection activeCell="B1" sqref="B1"/>
    </sheetView>
  </sheetViews>
  <sheetFormatPr baseColWidth="10" defaultColWidth="8.83203125" defaultRowHeight="16"/>
  <cols>
    <col min="1" max="1" width="17.1640625" bestFit="1" customWidth="1"/>
  </cols>
  <sheetData>
    <row r="1" spans="1:6">
      <c r="A1" t="s">
        <v>235</v>
      </c>
      <c r="B1" t="s">
        <v>233</v>
      </c>
      <c r="C1" t="s">
        <v>236</v>
      </c>
      <c r="D1" t="s">
        <v>234</v>
      </c>
      <c r="E1" t="s">
        <v>237</v>
      </c>
      <c r="F1" t="s">
        <v>238</v>
      </c>
    </row>
    <row r="2" spans="1:6">
      <c r="A2" t="s">
        <v>3</v>
      </c>
      <c r="B2" s="11">
        <v>64.7</v>
      </c>
      <c r="C2">
        <v>0.5</v>
      </c>
      <c r="D2">
        <v>25.4</v>
      </c>
      <c r="E2">
        <v>1.5</v>
      </c>
      <c r="F2">
        <v>0.1</v>
      </c>
    </row>
    <row r="3" spans="1:6">
      <c r="A3" t="s">
        <v>6</v>
      </c>
      <c r="B3" s="11">
        <v>59.6</v>
      </c>
      <c r="C3">
        <v>13.5</v>
      </c>
      <c r="D3">
        <v>2.9</v>
      </c>
      <c r="E3">
        <v>5.9</v>
      </c>
      <c r="F3">
        <v>1.5</v>
      </c>
    </row>
    <row r="4" spans="1:6">
      <c r="A4" t="s">
        <v>9</v>
      </c>
      <c r="B4" s="11">
        <v>58.3</v>
      </c>
      <c r="C4">
        <v>4</v>
      </c>
      <c r="D4">
        <v>4.8</v>
      </c>
      <c r="E4">
        <v>3.6</v>
      </c>
      <c r="F4">
        <v>0.2</v>
      </c>
    </row>
    <row r="5" spans="1:6">
      <c r="A5" t="s">
        <v>11</v>
      </c>
      <c r="B5" s="11">
        <v>68.900000000000006</v>
      </c>
      <c r="C5">
        <v>0.6</v>
      </c>
      <c r="D5">
        <v>14.4</v>
      </c>
      <c r="E5">
        <v>1.7</v>
      </c>
      <c r="F5">
        <v>0.5</v>
      </c>
    </row>
    <row r="6" spans="1:6">
      <c r="A6" t="s">
        <v>13</v>
      </c>
      <c r="B6" s="11">
        <v>38.5</v>
      </c>
      <c r="C6">
        <v>1.4</v>
      </c>
      <c r="D6">
        <v>5.4</v>
      </c>
      <c r="E6">
        <v>15.8</v>
      </c>
      <c r="F6">
        <v>0.4</v>
      </c>
    </row>
    <row r="7" spans="1:6">
      <c r="A7" t="s">
        <v>15</v>
      </c>
      <c r="B7" s="11">
        <v>70.400000000000006</v>
      </c>
      <c r="C7">
        <v>1.2</v>
      </c>
      <c r="D7">
        <v>3.9</v>
      </c>
      <c r="E7">
        <v>3.3</v>
      </c>
      <c r="F7">
        <v>0.2</v>
      </c>
    </row>
    <row r="8" spans="1:6">
      <c r="A8" t="s">
        <v>17</v>
      </c>
      <c r="B8" s="11">
        <v>64.5</v>
      </c>
      <c r="C8">
        <v>0.3</v>
      </c>
      <c r="D8">
        <v>10.9</v>
      </c>
      <c r="E8">
        <v>4.9000000000000004</v>
      </c>
      <c r="F8">
        <v>0.1</v>
      </c>
    </row>
    <row r="9" spans="1:6">
      <c r="A9" t="s">
        <v>20</v>
      </c>
      <c r="B9" s="11">
        <v>59.3</v>
      </c>
      <c r="C9">
        <v>0.5</v>
      </c>
      <c r="D9">
        <v>22.5</v>
      </c>
      <c r="E9">
        <v>4.3</v>
      </c>
      <c r="F9">
        <v>0</v>
      </c>
    </row>
    <row r="10" spans="1:6">
      <c r="A10" t="s">
        <v>107</v>
      </c>
      <c r="B10" s="11">
        <v>38.799999999999997</v>
      </c>
      <c r="C10">
        <v>0.2</v>
      </c>
      <c r="D10">
        <v>40.9</v>
      </c>
      <c r="E10">
        <v>4.2</v>
      </c>
      <c r="F10">
        <v>0.1</v>
      </c>
    </row>
    <row r="11" spans="1:6">
      <c r="A11" t="s">
        <v>22</v>
      </c>
      <c r="B11" s="11">
        <v>55.5</v>
      </c>
      <c r="C11">
        <v>0.4</v>
      </c>
      <c r="D11">
        <v>14.9</v>
      </c>
      <c r="E11">
        <v>3</v>
      </c>
      <c r="F11">
        <v>0.1</v>
      </c>
    </row>
    <row r="12" spans="1:6">
      <c r="A12" t="s">
        <v>24</v>
      </c>
      <c r="B12" s="11">
        <v>50.3</v>
      </c>
      <c r="C12">
        <v>0.5</v>
      </c>
      <c r="D12">
        <v>30.8</v>
      </c>
      <c r="E12">
        <v>4.5</v>
      </c>
      <c r="F12">
        <v>0.1</v>
      </c>
    </row>
    <row r="13" spans="1:6">
      <c r="A13" t="s">
        <v>26</v>
      </c>
      <c r="B13" s="11">
        <v>21.9</v>
      </c>
      <c r="C13">
        <v>0.2</v>
      </c>
      <c r="D13">
        <v>1.7</v>
      </c>
      <c r="E13">
        <v>36.700000000000003</v>
      </c>
      <c r="F13">
        <v>9.4</v>
      </c>
    </row>
    <row r="14" spans="1:6">
      <c r="A14" t="s">
        <v>28</v>
      </c>
      <c r="B14" s="11">
        <v>81.7</v>
      </c>
      <c r="C14">
        <v>1.1000000000000001</v>
      </c>
      <c r="D14">
        <v>0.8</v>
      </c>
      <c r="E14">
        <v>1.4</v>
      </c>
      <c r="F14">
        <v>0.2</v>
      </c>
    </row>
    <row r="15" spans="1:6">
      <c r="A15" t="s">
        <v>30</v>
      </c>
      <c r="B15" s="11">
        <v>60.7</v>
      </c>
      <c r="C15">
        <v>0.7</v>
      </c>
      <c r="D15">
        <v>13.3</v>
      </c>
      <c r="E15">
        <v>6</v>
      </c>
      <c r="F15">
        <v>0</v>
      </c>
    </row>
    <row r="16" spans="1:6">
      <c r="A16" t="s">
        <v>33</v>
      </c>
      <c r="B16" s="11">
        <v>76.7</v>
      </c>
      <c r="C16">
        <v>0.3</v>
      </c>
      <c r="D16">
        <v>9</v>
      </c>
      <c r="E16">
        <v>2.7</v>
      </c>
      <c r="F16">
        <v>0.1</v>
      </c>
    </row>
    <row r="17" spans="1:6">
      <c r="A17" t="s">
        <v>35</v>
      </c>
      <c r="B17" s="11">
        <v>84.2</v>
      </c>
      <c r="C17">
        <v>0.4</v>
      </c>
      <c r="D17">
        <v>4</v>
      </c>
      <c r="E17">
        <v>2.4</v>
      </c>
      <c r="F17">
        <v>0.1</v>
      </c>
    </row>
    <row r="18" spans="1:6">
      <c r="A18" t="s">
        <v>37</v>
      </c>
      <c r="B18" s="11">
        <v>75.900000000000006</v>
      </c>
      <c r="C18">
        <v>0.8</v>
      </c>
      <c r="D18">
        <v>5.3</v>
      </c>
      <c r="E18">
        <v>2.6</v>
      </c>
      <c r="F18">
        <v>0.1</v>
      </c>
    </row>
    <row r="19" spans="1:6">
      <c r="A19" t="s">
        <v>39</v>
      </c>
      <c r="B19" s="11">
        <v>82.5</v>
      </c>
      <c r="C19">
        <v>0.3</v>
      </c>
      <c r="D19">
        <v>7.5</v>
      </c>
      <c r="E19">
        <v>1.4</v>
      </c>
      <c r="F19">
        <v>0.1</v>
      </c>
    </row>
    <row r="20" spans="1:6">
      <c r="A20" t="s">
        <v>41</v>
      </c>
      <c r="B20" s="11">
        <v>56.7</v>
      </c>
      <c r="C20">
        <v>0.8</v>
      </c>
      <c r="D20">
        <v>30.3</v>
      </c>
      <c r="E20">
        <v>1.8</v>
      </c>
      <c r="F20">
        <v>0.1</v>
      </c>
    </row>
    <row r="21" spans="1:6">
      <c r="A21" t="s">
        <v>43</v>
      </c>
      <c r="B21" s="11">
        <v>90.1</v>
      </c>
      <c r="C21">
        <v>0.4</v>
      </c>
      <c r="D21">
        <v>1.8</v>
      </c>
      <c r="E21">
        <v>1.1000000000000001</v>
      </c>
      <c r="F21">
        <v>0.1</v>
      </c>
    </row>
    <row r="22" spans="1:6">
      <c r="A22" t="s">
        <v>45</v>
      </c>
      <c r="B22" s="11">
        <v>47.9</v>
      </c>
      <c r="C22">
        <v>0.5</v>
      </c>
      <c r="D22">
        <v>29.2</v>
      </c>
      <c r="E22">
        <v>6.6</v>
      </c>
      <c r="F22">
        <v>0.1</v>
      </c>
    </row>
    <row r="23" spans="1:6">
      <c r="A23" t="s">
        <v>47</v>
      </c>
      <c r="B23" s="11">
        <v>67.900000000000006</v>
      </c>
      <c r="C23">
        <v>0.3</v>
      </c>
      <c r="D23">
        <v>7</v>
      </c>
      <c r="E23">
        <v>7.4</v>
      </c>
      <c r="F23">
        <v>0</v>
      </c>
    </row>
    <row r="24" spans="1:6">
      <c r="A24" t="s">
        <v>49</v>
      </c>
      <c r="B24" s="11">
        <v>73.8</v>
      </c>
      <c r="C24">
        <v>0.5</v>
      </c>
      <c r="D24">
        <v>13.2</v>
      </c>
      <c r="E24">
        <v>3.4</v>
      </c>
      <c r="F24">
        <v>0</v>
      </c>
    </row>
    <row r="25" spans="1:6">
      <c r="A25" t="s">
        <v>51</v>
      </c>
      <c r="B25" s="11">
        <v>76.7</v>
      </c>
      <c r="C25">
        <v>0.9</v>
      </c>
      <c r="D25">
        <v>7.2</v>
      </c>
      <c r="E25">
        <v>5.2</v>
      </c>
      <c r="F25">
        <v>0.1</v>
      </c>
    </row>
    <row r="26" spans="1:6">
      <c r="A26" t="s">
        <v>53</v>
      </c>
      <c r="B26" s="11">
        <v>55.6</v>
      </c>
      <c r="C26">
        <v>0.5</v>
      </c>
      <c r="D26">
        <v>35.6</v>
      </c>
      <c r="E26">
        <v>0.9</v>
      </c>
      <c r="F26">
        <v>0</v>
      </c>
    </row>
    <row r="27" spans="1:6">
      <c r="A27" t="s">
        <v>55</v>
      </c>
      <c r="B27" s="11">
        <v>77.8</v>
      </c>
      <c r="C27">
        <v>0.3</v>
      </c>
      <c r="D27">
        <v>10.8</v>
      </c>
      <c r="E27">
        <v>2.1</v>
      </c>
      <c r="F27">
        <v>0.2</v>
      </c>
    </row>
    <row r="28" spans="1:6">
      <c r="A28" t="s">
        <v>57</v>
      </c>
      <c r="B28" s="11">
        <v>84.6</v>
      </c>
      <c r="C28">
        <v>5.6</v>
      </c>
      <c r="D28">
        <v>0.4</v>
      </c>
      <c r="E28">
        <v>0.8</v>
      </c>
      <c r="F28">
        <v>0</v>
      </c>
    </row>
    <row r="29" spans="1:6">
      <c r="A29" t="s">
        <v>59</v>
      </c>
      <c r="B29" s="11">
        <v>77.7</v>
      </c>
      <c r="C29">
        <v>1.1000000000000001</v>
      </c>
      <c r="D29">
        <v>4.5999999999999996</v>
      </c>
      <c r="E29">
        <v>2.5</v>
      </c>
      <c r="F29">
        <v>0</v>
      </c>
    </row>
    <row r="30" spans="1:6">
      <c r="A30" t="s">
        <v>61</v>
      </c>
      <c r="B30" s="11">
        <v>49.8</v>
      </c>
      <c r="C30">
        <v>1.4</v>
      </c>
      <c r="D30">
        <v>9.4</v>
      </c>
      <c r="E30">
        <v>9.1</v>
      </c>
      <c r="F30">
        <v>0.8</v>
      </c>
    </row>
    <row r="31" spans="1:6">
      <c r="A31" t="s">
        <v>63</v>
      </c>
      <c r="B31" s="11">
        <v>87.5</v>
      </c>
      <c r="C31">
        <v>0.2</v>
      </c>
      <c r="D31">
        <v>1.5</v>
      </c>
      <c r="E31">
        <v>2.6</v>
      </c>
      <c r="F31">
        <v>0</v>
      </c>
    </row>
    <row r="32" spans="1:6">
      <c r="A32" t="s">
        <v>65</v>
      </c>
      <c r="B32" s="11">
        <v>53.5</v>
      </c>
      <c r="C32">
        <v>0.8</v>
      </c>
      <c r="D32">
        <v>12.7</v>
      </c>
      <c r="E32">
        <v>10.199999999999999</v>
      </c>
      <c r="F32">
        <v>0</v>
      </c>
    </row>
    <row r="33" spans="1:6">
      <c r="A33" t="s">
        <v>67</v>
      </c>
      <c r="B33" s="11">
        <v>47.5</v>
      </c>
      <c r="C33">
        <v>9.3000000000000007</v>
      </c>
      <c r="D33">
        <v>2</v>
      </c>
      <c r="E33">
        <v>1.8</v>
      </c>
      <c r="F33">
        <v>0.2</v>
      </c>
    </row>
    <row r="34" spans="1:6">
      <c r="A34" t="s">
        <v>69</v>
      </c>
      <c r="B34" s="11">
        <v>55.1</v>
      </c>
      <c r="C34">
        <v>0.7</v>
      </c>
      <c r="D34">
        <v>14.3</v>
      </c>
      <c r="E34">
        <v>9.1</v>
      </c>
      <c r="F34">
        <v>0</v>
      </c>
    </row>
    <row r="35" spans="1:6">
      <c r="A35" t="s">
        <v>71</v>
      </c>
      <c r="B35" s="11">
        <v>61.4</v>
      </c>
      <c r="C35">
        <v>1</v>
      </c>
      <c r="D35">
        <v>20.100000000000001</v>
      </c>
      <c r="E35">
        <v>3.3</v>
      </c>
      <c r="F35">
        <v>0</v>
      </c>
    </row>
    <row r="36" spans="1:6">
      <c r="A36" t="s">
        <v>73</v>
      </c>
      <c r="B36" s="11">
        <v>82.5</v>
      </c>
      <c r="C36">
        <v>4.4000000000000004</v>
      </c>
      <c r="D36">
        <v>3.1</v>
      </c>
      <c r="E36">
        <v>1.5</v>
      </c>
      <c r="F36">
        <v>0.2</v>
      </c>
    </row>
    <row r="37" spans="1:6">
      <c r="A37" t="s">
        <v>75</v>
      </c>
      <c r="B37" s="11">
        <v>76.599999999999994</v>
      </c>
      <c r="C37">
        <v>0.2</v>
      </c>
      <c r="D37">
        <v>11.9</v>
      </c>
      <c r="E37">
        <v>2.6</v>
      </c>
      <c r="F37">
        <v>0</v>
      </c>
    </row>
    <row r="38" spans="1:6">
      <c r="A38" t="s">
        <v>77</v>
      </c>
      <c r="B38" s="11">
        <v>64.599999999999994</v>
      </c>
      <c r="C38">
        <v>7.2</v>
      </c>
      <c r="D38">
        <v>6.8</v>
      </c>
      <c r="E38">
        <v>2.2999999999999998</v>
      </c>
      <c r="F38">
        <v>0.2</v>
      </c>
    </row>
    <row r="39" spans="1:6">
      <c r="A39" t="s">
        <v>79</v>
      </c>
      <c r="B39" s="11">
        <v>73.900000000000006</v>
      </c>
      <c r="C39">
        <v>1.1000000000000001</v>
      </c>
      <c r="D39">
        <v>2.1</v>
      </c>
      <c r="E39">
        <v>4.5999999999999996</v>
      </c>
      <c r="F39">
        <v>0.4</v>
      </c>
    </row>
    <row r="40" spans="1:6">
      <c r="A40" t="s">
        <v>81</v>
      </c>
      <c r="B40" s="11">
        <v>74</v>
      </c>
      <c r="C40">
        <v>0.2</v>
      </c>
      <c r="D40">
        <v>10.6</v>
      </c>
      <c r="E40">
        <v>3.9</v>
      </c>
      <c r="F40">
        <v>0</v>
      </c>
    </row>
    <row r="41" spans="1:6">
      <c r="A41" t="s">
        <v>83</v>
      </c>
      <c r="B41" s="11">
        <v>69.7</v>
      </c>
      <c r="C41">
        <v>0.8</v>
      </c>
      <c r="D41">
        <v>5.4</v>
      </c>
      <c r="E41">
        <v>3.4</v>
      </c>
      <c r="F41">
        <v>0</v>
      </c>
    </row>
    <row r="42" spans="1:6">
      <c r="A42" t="s">
        <v>85</v>
      </c>
      <c r="B42" s="11">
        <v>63.6</v>
      </c>
      <c r="C42">
        <v>0.4</v>
      </c>
      <c r="D42">
        <v>24.4</v>
      </c>
      <c r="E42">
        <v>1.8</v>
      </c>
      <c r="F42">
        <v>0.1</v>
      </c>
    </row>
    <row r="43" spans="1:6">
      <c r="A43" t="s">
        <v>87</v>
      </c>
      <c r="B43" s="11">
        <v>80.5</v>
      </c>
      <c r="C43">
        <v>7.7</v>
      </c>
      <c r="D43">
        <v>2.5</v>
      </c>
      <c r="E43">
        <v>1.5</v>
      </c>
      <c r="F43">
        <v>0</v>
      </c>
    </row>
    <row r="44" spans="1:6">
      <c r="A44" t="s">
        <v>89</v>
      </c>
      <c r="B44" s="11">
        <v>72.3</v>
      </c>
      <c r="C44">
        <v>0.3</v>
      </c>
      <c r="D44">
        <v>15.3</v>
      </c>
      <c r="E44">
        <v>1.8</v>
      </c>
      <c r="F44">
        <v>0.1</v>
      </c>
    </row>
    <row r="45" spans="1:6">
      <c r="A45" t="s">
        <v>91</v>
      </c>
      <c r="B45" s="11">
        <v>47.7</v>
      </c>
      <c r="C45">
        <v>0.9</v>
      </c>
      <c r="D45">
        <v>12.3</v>
      </c>
      <c r="E45">
        <v>5.7</v>
      </c>
      <c r="F45">
        <v>0.1</v>
      </c>
    </row>
    <row r="46" spans="1:6">
      <c r="A46" t="s">
        <v>93</v>
      </c>
      <c r="B46" s="11">
        <v>78.599999999999994</v>
      </c>
      <c r="C46">
        <v>1.1000000000000001</v>
      </c>
      <c r="D46">
        <v>1.1000000000000001</v>
      </c>
      <c r="E46">
        <v>2.5</v>
      </c>
      <c r="F46">
        <v>1</v>
      </c>
    </row>
    <row r="47" spans="1:6">
      <c r="A47" t="s">
        <v>95</v>
      </c>
      <c r="B47" s="11">
        <v>89.9</v>
      </c>
      <c r="C47">
        <v>0.2</v>
      </c>
      <c r="D47">
        <v>1.2</v>
      </c>
      <c r="E47">
        <v>1.7</v>
      </c>
      <c r="F47">
        <v>0</v>
      </c>
    </row>
    <row r="48" spans="1:6">
      <c r="A48" t="s">
        <v>97</v>
      </c>
      <c r="B48" s="11">
        <v>59.8</v>
      </c>
      <c r="C48">
        <v>0.4</v>
      </c>
      <c r="D48">
        <v>18.399999999999999</v>
      </c>
      <c r="E48">
        <v>6.9</v>
      </c>
      <c r="F48">
        <v>0.1</v>
      </c>
    </row>
    <row r="49" spans="1:6">
      <c r="A49" t="s">
        <v>99</v>
      </c>
      <c r="B49" s="11">
        <v>65.2</v>
      </c>
      <c r="C49">
        <v>1.2</v>
      </c>
      <c r="D49">
        <v>4</v>
      </c>
      <c r="E49">
        <v>10</v>
      </c>
      <c r="F49">
        <v>0.7</v>
      </c>
    </row>
    <row r="50" spans="1:6">
      <c r="A50" t="s">
        <v>101</v>
      </c>
      <c r="B50" s="11">
        <v>90.1</v>
      </c>
      <c r="C50">
        <v>0.1</v>
      </c>
      <c r="D50">
        <v>3.2</v>
      </c>
      <c r="E50">
        <v>0.7</v>
      </c>
      <c r="F50">
        <v>0</v>
      </c>
    </row>
    <row r="51" spans="1:6">
      <c r="A51" t="s">
        <v>103</v>
      </c>
      <c r="B51" s="11">
        <v>79.900000000000006</v>
      </c>
      <c r="C51">
        <v>0.8</v>
      </c>
      <c r="D51">
        <v>5.9</v>
      </c>
      <c r="E51">
        <v>3</v>
      </c>
      <c r="F51">
        <v>0</v>
      </c>
    </row>
    <row r="52" spans="1:6">
      <c r="A52" t="s">
        <v>105</v>
      </c>
      <c r="B52" s="11">
        <v>84.1</v>
      </c>
      <c r="C52">
        <v>2.5</v>
      </c>
      <c r="D52">
        <v>0.7</v>
      </c>
      <c r="E52">
        <v>0.9</v>
      </c>
      <c r="F52">
        <v>0</v>
      </c>
    </row>
    <row r="53" spans="1:6">
      <c r="A53" t="s">
        <v>251</v>
      </c>
      <c r="B53" s="23">
        <f>AVERAGE(B2:B52)</f>
        <v>67.235294117647044</v>
      </c>
      <c r="C53" s="23">
        <f>AVERAGE(C2:C52)</f>
        <v>1.582352941176471</v>
      </c>
      <c r="D53" s="23">
        <f>AVERAGE(D2:D52)</f>
        <v>10.733333333333338</v>
      </c>
      <c r="E53" s="23">
        <f>AVERAGE(E2:E52)</f>
        <v>4.4823529411764707</v>
      </c>
      <c r="F53" s="23">
        <f>AVERAGE(F2:F52)</f>
        <v>0.34901960784313713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C91F-197F-481F-940B-9EE6BB9E9DDD}">
  <dimension ref="A1:E55"/>
  <sheetViews>
    <sheetView workbookViewId="0">
      <selection activeCell="E1" sqref="E1"/>
    </sheetView>
  </sheetViews>
  <sheetFormatPr baseColWidth="10" defaultColWidth="8.83203125" defaultRowHeight="16"/>
  <cols>
    <col min="1" max="1" width="17.1640625" bestFit="1" customWidth="1"/>
    <col min="2" max="2" width="16.6640625" bestFit="1" customWidth="1"/>
    <col min="3" max="5" width="16.6640625" style="1" bestFit="1" customWidth="1"/>
  </cols>
  <sheetData>
    <row r="1" spans="1:5">
      <c r="A1" s="16" t="s">
        <v>0</v>
      </c>
      <c r="B1" s="5" t="s">
        <v>164</v>
      </c>
      <c r="C1" s="5" t="s">
        <v>178</v>
      </c>
      <c r="D1" s="5" t="s">
        <v>179</v>
      </c>
      <c r="E1" s="5" t="s">
        <v>173</v>
      </c>
    </row>
    <row r="2" spans="1:5">
      <c r="A2" s="2" t="s">
        <v>3</v>
      </c>
      <c r="B2" s="17">
        <v>50599123</v>
      </c>
      <c r="C2" s="17">
        <v>32457731</v>
      </c>
      <c r="D2" s="17">
        <v>84534095</v>
      </c>
      <c r="E2" s="17">
        <v>80331876</v>
      </c>
    </row>
    <row r="3" spans="1:5">
      <c r="A3" s="2" t="s">
        <v>6</v>
      </c>
      <c r="B3" s="17">
        <v>4771549</v>
      </c>
      <c r="C3" s="17">
        <v>1463556</v>
      </c>
      <c r="D3" s="17">
        <v>8027789</v>
      </c>
      <c r="E3" s="17">
        <v>6698321</v>
      </c>
    </row>
    <row r="4" spans="1:5">
      <c r="A4" s="2" t="s">
        <v>9</v>
      </c>
      <c r="B4" s="17">
        <v>69061516</v>
      </c>
      <c r="C4" s="17">
        <v>52656153</v>
      </c>
      <c r="D4" s="17">
        <v>107154412</v>
      </c>
      <c r="E4" s="17">
        <v>90643576</v>
      </c>
    </row>
    <row r="5" spans="1:5">
      <c r="A5" s="2" t="s">
        <v>11</v>
      </c>
      <c r="B5" s="17">
        <v>42208047</v>
      </c>
      <c r="C5" s="17">
        <v>45162673</v>
      </c>
      <c r="D5" s="17">
        <v>51210647</v>
      </c>
      <c r="E5" s="17">
        <v>50234499</v>
      </c>
    </row>
    <row r="6" spans="1:5">
      <c r="A6" s="2" t="s">
        <v>13</v>
      </c>
      <c r="B6" s="17">
        <v>393287866</v>
      </c>
      <c r="C6" s="17">
        <v>337377430</v>
      </c>
      <c r="D6" s="17">
        <v>535929249</v>
      </c>
      <c r="E6" s="17">
        <v>548150176</v>
      </c>
    </row>
    <row r="7" spans="1:5">
      <c r="A7" s="2" t="s">
        <v>15</v>
      </c>
      <c r="B7" s="17">
        <v>33051021</v>
      </c>
      <c r="C7" s="17">
        <v>12700563</v>
      </c>
      <c r="D7" s="17">
        <v>66562163</v>
      </c>
      <c r="E7" s="17">
        <v>57729033</v>
      </c>
    </row>
    <row r="8" spans="1:5">
      <c r="A8" s="2" t="s">
        <v>17</v>
      </c>
      <c r="B8" s="17">
        <v>29839677</v>
      </c>
      <c r="C8" s="17">
        <v>20316264</v>
      </c>
      <c r="D8" s="17">
        <v>54252693</v>
      </c>
      <c r="E8" s="17">
        <v>51848011</v>
      </c>
    </row>
    <row r="9" spans="1:5">
      <c r="A9" s="2" t="s">
        <v>20</v>
      </c>
      <c r="B9" s="17">
        <v>9064531</v>
      </c>
      <c r="C9" s="17">
        <v>1675219</v>
      </c>
      <c r="D9" s="17">
        <v>14547490</v>
      </c>
      <c r="E9" s="17">
        <v>14362895</v>
      </c>
    </row>
    <row r="10" spans="1:5">
      <c r="A10" s="2" t="s">
        <v>107</v>
      </c>
      <c r="B10" s="17">
        <v>5249360</v>
      </c>
      <c r="C10" s="17">
        <v>1595018</v>
      </c>
      <c r="D10" s="17">
        <v>13565437</v>
      </c>
      <c r="E10" s="17">
        <v>7988809</v>
      </c>
    </row>
    <row r="11" spans="1:5">
      <c r="A11" s="2" t="s">
        <v>22</v>
      </c>
      <c r="B11" s="17">
        <v>174993455</v>
      </c>
      <c r="C11" s="17">
        <v>112881399</v>
      </c>
      <c r="D11" s="17">
        <v>292432664</v>
      </c>
      <c r="E11" s="17">
        <v>280608314</v>
      </c>
    </row>
    <row r="12" spans="1:5">
      <c r="A12" s="2" t="s">
        <v>24</v>
      </c>
      <c r="B12" s="17">
        <v>142515772</v>
      </c>
      <c r="C12" s="17">
        <v>153432675</v>
      </c>
      <c r="D12" s="17">
        <v>330495428</v>
      </c>
      <c r="E12" s="17">
        <v>180741699</v>
      </c>
    </row>
    <row r="13" spans="1:5">
      <c r="A13" s="2" t="s">
        <v>26</v>
      </c>
      <c r="B13" s="17">
        <v>10402652</v>
      </c>
      <c r="C13" s="17">
        <v>9087624</v>
      </c>
      <c r="D13" s="17">
        <v>15695693</v>
      </c>
      <c r="E13" s="17">
        <v>14615532</v>
      </c>
    </row>
    <row r="14" spans="1:5">
      <c r="A14" s="2" t="s">
        <v>28</v>
      </c>
      <c r="B14" s="17">
        <v>15412645</v>
      </c>
      <c r="C14" s="17">
        <v>13410817</v>
      </c>
      <c r="D14" s="17">
        <v>25188044</v>
      </c>
      <c r="E14" s="17">
        <v>20272821</v>
      </c>
    </row>
    <row r="15" spans="1:5">
      <c r="A15" s="2" t="s">
        <v>30</v>
      </c>
      <c r="B15" s="17">
        <v>96231867</v>
      </c>
      <c r="C15" s="17">
        <v>28009348</v>
      </c>
      <c r="D15" s="17">
        <v>162308086</v>
      </c>
      <c r="E15" s="17">
        <v>148324610</v>
      </c>
    </row>
    <row r="16" spans="1:5">
      <c r="A16" s="2" t="s">
        <v>33</v>
      </c>
      <c r="B16" s="17">
        <v>77823945</v>
      </c>
      <c r="C16" s="17">
        <v>48883646</v>
      </c>
      <c r="D16" s="17">
        <v>120140912</v>
      </c>
      <c r="E16" s="17">
        <v>116394104</v>
      </c>
    </row>
    <row r="17" spans="1:5">
      <c r="A17" s="2" t="s">
        <v>35</v>
      </c>
      <c r="B17" s="17">
        <v>38228087</v>
      </c>
      <c r="C17" s="17">
        <v>11577185</v>
      </c>
      <c r="D17" s="17">
        <v>62517478</v>
      </c>
      <c r="E17" s="17">
        <v>57995546</v>
      </c>
    </row>
    <row r="18" spans="1:5">
      <c r="A18" s="2" t="s">
        <v>37</v>
      </c>
      <c r="B18" s="17">
        <v>30884936</v>
      </c>
      <c r="C18" s="17">
        <v>12559592</v>
      </c>
      <c r="D18" s="17">
        <v>53527582</v>
      </c>
      <c r="E18" s="17">
        <v>48529670</v>
      </c>
    </row>
    <row r="19" spans="1:5">
      <c r="A19" s="2" t="s">
        <v>39</v>
      </c>
      <c r="B19" s="17">
        <v>46597886</v>
      </c>
      <c r="C19" s="17">
        <v>14538862</v>
      </c>
      <c r="D19" s="17">
        <v>75084258</v>
      </c>
      <c r="E19" s="17">
        <v>76329625</v>
      </c>
    </row>
    <row r="20" spans="1:5">
      <c r="A20" s="2" t="s">
        <v>41</v>
      </c>
      <c r="B20" s="17">
        <v>51741667</v>
      </c>
      <c r="C20" s="17">
        <v>13898424</v>
      </c>
      <c r="D20" s="17">
        <v>79963100</v>
      </c>
      <c r="E20" s="17">
        <v>77984033</v>
      </c>
    </row>
    <row r="21" spans="1:5">
      <c r="A21" s="2" t="s">
        <v>43</v>
      </c>
      <c r="B21" s="17">
        <v>8367654</v>
      </c>
      <c r="C21" s="17">
        <v>1922027</v>
      </c>
      <c r="D21" s="17">
        <v>17295122</v>
      </c>
      <c r="E21" s="17">
        <v>18207955</v>
      </c>
    </row>
    <row r="22" spans="1:5">
      <c r="A22" s="2" t="s">
        <v>45</v>
      </c>
      <c r="B22" s="17">
        <v>42628029</v>
      </c>
      <c r="C22" s="17">
        <v>7554998</v>
      </c>
      <c r="D22" s="17">
        <v>80620966</v>
      </c>
      <c r="E22" s="17">
        <v>68995220</v>
      </c>
    </row>
    <row r="23" spans="1:5">
      <c r="A23" s="2" t="s">
        <v>47</v>
      </c>
      <c r="B23" s="17">
        <v>51900463</v>
      </c>
      <c r="C23" s="17">
        <v>37032614</v>
      </c>
      <c r="D23" s="17">
        <v>95423563</v>
      </c>
      <c r="E23" s="17">
        <v>97783493</v>
      </c>
    </row>
    <row r="24" spans="1:5">
      <c r="A24" s="2" t="s">
        <v>49</v>
      </c>
      <c r="B24" s="17">
        <v>73825069</v>
      </c>
      <c r="C24" s="17">
        <v>18315423</v>
      </c>
      <c r="D24" s="17">
        <v>130673912</v>
      </c>
      <c r="E24" s="17">
        <v>123390694</v>
      </c>
    </row>
    <row r="25" spans="1:5">
      <c r="A25" s="2" t="s">
        <v>51</v>
      </c>
      <c r="B25" s="17">
        <v>56810524</v>
      </c>
      <c r="C25" s="17">
        <v>16661240</v>
      </c>
      <c r="D25" s="17">
        <v>95573400</v>
      </c>
      <c r="E25" s="17">
        <v>90120616</v>
      </c>
    </row>
    <row r="26" spans="1:5">
      <c r="A26" s="2" t="s">
        <v>53</v>
      </c>
      <c r="B26" s="17">
        <v>32308393</v>
      </c>
      <c r="C26" s="17">
        <v>11240368</v>
      </c>
      <c r="D26" s="17">
        <v>55345931</v>
      </c>
      <c r="E26" s="17">
        <v>52203280</v>
      </c>
    </row>
    <row r="27" spans="1:5">
      <c r="A27" s="2" t="s">
        <v>55</v>
      </c>
      <c r="B27" s="17">
        <v>61647238</v>
      </c>
      <c r="C27" s="17">
        <v>51217895</v>
      </c>
      <c r="D27" s="17">
        <v>93741654</v>
      </c>
      <c r="E27" s="17">
        <v>81732099</v>
      </c>
    </row>
    <row r="28" spans="1:5">
      <c r="A28" s="2" t="s">
        <v>57</v>
      </c>
      <c r="B28" s="17">
        <v>8134581</v>
      </c>
      <c r="C28" s="17">
        <v>2864748</v>
      </c>
      <c r="D28" s="17">
        <v>13968237</v>
      </c>
      <c r="E28" s="17">
        <v>12083797</v>
      </c>
    </row>
    <row r="29" spans="1:5">
      <c r="A29" s="2" t="s">
        <v>59</v>
      </c>
      <c r="B29" s="17">
        <v>23600376</v>
      </c>
      <c r="C29" s="17">
        <v>7879843</v>
      </c>
      <c r="D29" s="17">
        <v>40015627</v>
      </c>
      <c r="E29" s="17">
        <v>37815389</v>
      </c>
    </row>
    <row r="30" spans="1:5">
      <c r="A30" s="2" t="s">
        <v>61</v>
      </c>
      <c r="B30" s="17">
        <v>23742045</v>
      </c>
      <c r="C30" s="17">
        <v>12021408</v>
      </c>
      <c r="D30" s="17">
        <v>38666248</v>
      </c>
      <c r="E30" s="17">
        <v>39556924</v>
      </c>
    </row>
    <row r="31" spans="1:5">
      <c r="A31" s="2" t="s">
        <v>63</v>
      </c>
      <c r="B31" s="17">
        <v>9292473</v>
      </c>
      <c r="C31" s="17">
        <v>9286169</v>
      </c>
      <c r="D31" s="17">
        <v>15386198</v>
      </c>
      <c r="E31" s="17">
        <v>12162859</v>
      </c>
    </row>
    <row r="32" spans="1:5">
      <c r="A32" s="2" t="s">
        <v>65</v>
      </c>
      <c r="B32" s="17">
        <v>84743601</v>
      </c>
      <c r="C32" s="17">
        <v>92410709</v>
      </c>
      <c r="D32" s="17">
        <v>144830392</v>
      </c>
      <c r="E32" s="17">
        <v>111141778</v>
      </c>
    </row>
    <row r="33" spans="1:5">
      <c r="A33" s="2" t="s">
        <v>67</v>
      </c>
      <c r="B33" s="17">
        <v>25813380</v>
      </c>
      <c r="C33" s="17">
        <v>18164339</v>
      </c>
      <c r="D33" s="17">
        <v>31757931</v>
      </c>
      <c r="E33" s="17">
        <v>31453903</v>
      </c>
    </row>
    <row r="34" spans="1:5">
      <c r="A34" s="2" t="s">
        <v>69</v>
      </c>
      <c r="B34" s="17">
        <v>180163049</v>
      </c>
      <c r="C34" s="17">
        <v>46464981</v>
      </c>
      <c r="D34" s="17">
        <v>273040706</v>
      </c>
      <c r="E34" s="17">
        <v>261083959</v>
      </c>
    </row>
    <row r="35" spans="1:5">
      <c r="A35" s="2" t="s">
        <v>71</v>
      </c>
      <c r="B35" s="17">
        <v>78693518</v>
      </c>
      <c r="C35" s="17">
        <v>21643469</v>
      </c>
      <c r="D35" s="17">
        <v>133740108</v>
      </c>
      <c r="E35" s="17">
        <v>127247572</v>
      </c>
    </row>
    <row r="36" spans="1:5">
      <c r="A36" s="2" t="s">
        <v>73</v>
      </c>
      <c r="B36" s="17">
        <v>8961219</v>
      </c>
      <c r="C36" s="17">
        <v>2543766</v>
      </c>
      <c r="D36" s="17">
        <v>15499079</v>
      </c>
      <c r="E36" s="17">
        <v>14376962</v>
      </c>
    </row>
    <row r="37" spans="1:5">
      <c r="A37" s="2" t="s">
        <v>75</v>
      </c>
      <c r="B37" s="17">
        <v>112617832</v>
      </c>
      <c r="C37" s="17">
        <v>112222319</v>
      </c>
      <c r="D37" s="17">
        <v>169281518</v>
      </c>
      <c r="E37" s="17">
        <v>149491377</v>
      </c>
    </row>
    <row r="38" spans="1:5">
      <c r="A38" s="2" t="s">
        <v>77</v>
      </c>
      <c r="B38" s="17">
        <v>49503979</v>
      </c>
      <c r="C38" s="17">
        <v>30902019</v>
      </c>
      <c r="D38" s="17">
        <v>62017854</v>
      </c>
      <c r="E38" s="17">
        <v>58965117</v>
      </c>
    </row>
    <row r="39" spans="1:5">
      <c r="A39" s="2" t="s">
        <v>79</v>
      </c>
      <c r="B39" s="17">
        <v>27621173</v>
      </c>
      <c r="C39" s="17">
        <v>9637644</v>
      </c>
      <c r="D39" s="17">
        <v>43724812</v>
      </c>
      <c r="E39" s="17">
        <v>41788874</v>
      </c>
    </row>
    <row r="40" spans="1:5">
      <c r="A40" s="2" t="s">
        <v>81</v>
      </c>
      <c r="B40" s="17">
        <v>118486032</v>
      </c>
      <c r="C40" s="17">
        <v>87101649</v>
      </c>
      <c r="D40" s="17">
        <v>167676524</v>
      </c>
      <c r="E40" s="17">
        <v>157756826</v>
      </c>
    </row>
    <row r="41" spans="1:5">
      <c r="A41" s="2" t="s">
        <v>83</v>
      </c>
      <c r="B41" s="17">
        <v>7180086</v>
      </c>
      <c r="C41" s="17">
        <v>1468951</v>
      </c>
      <c r="D41" s="17">
        <v>13279483</v>
      </c>
      <c r="E41" s="17">
        <v>11578969</v>
      </c>
    </row>
    <row r="42" spans="1:5">
      <c r="A42" s="2" t="s">
        <v>85</v>
      </c>
      <c r="B42" s="17">
        <v>58391505</v>
      </c>
      <c r="C42" s="17">
        <v>50025495</v>
      </c>
      <c r="D42" s="17">
        <v>81082854</v>
      </c>
      <c r="E42" s="17">
        <v>77804814</v>
      </c>
    </row>
    <row r="43" spans="1:5">
      <c r="A43" s="2" t="s">
        <v>87</v>
      </c>
      <c r="B43" s="17">
        <v>13715705</v>
      </c>
      <c r="C43" s="17">
        <v>12147361</v>
      </c>
      <c r="D43" s="17">
        <v>17013703</v>
      </c>
      <c r="E43" s="17">
        <v>15411471</v>
      </c>
    </row>
    <row r="44" spans="1:5">
      <c r="A44" s="2" t="s">
        <v>89</v>
      </c>
      <c r="B44" s="17">
        <v>79479553</v>
      </c>
      <c r="C44" s="17">
        <v>85294305</v>
      </c>
      <c r="D44" s="17">
        <v>107271636</v>
      </c>
      <c r="E44" s="17">
        <v>99609125</v>
      </c>
    </row>
    <row r="45" spans="1:5">
      <c r="A45" s="2" t="s">
        <v>91</v>
      </c>
      <c r="B45" s="17">
        <v>386823847</v>
      </c>
      <c r="C45" s="17">
        <v>354357123</v>
      </c>
      <c r="D45" s="17">
        <v>569180000</v>
      </c>
      <c r="E45" s="17">
        <v>539642021</v>
      </c>
    </row>
    <row r="46" spans="1:5">
      <c r="A46" s="2" t="s">
        <v>93</v>
      </c>
      <c r="B46" s="17">
        <v>46507198</v>
      </c>
      <c r="C46" s="17">
        <v>51293507</v>
      </c>
      <c r="D46" s="17">
        <v>57004290</v>
      </c>
      <c r="E46" s="17">
        <v>50053623</v>
      </c>
    </row>
    <row r="47" spans="1:5">
      <c r="A47" s="2" t="s">
        <v>95</v>
      </c>
      <c r="B47" s="17">
        <v>4028520</v>
      </c>
      <c r="C47" s="17">
        <v>1178901</v>
      </c>
      <c r="D47" s="17">
        <v>8444426</v>
      </c>
      <c r="E47" s="17">
        <v>8655880</v>
      </c>
    </row>
    <row r="48" spans="1:5">
      <c r="A48" s="2" t="s">
        <v>97</v>
      </c>
      <c r="B48" s="17">
        <v>67788093</v>
      </c>
      <c r="C48" s="17">
        <v>20259453</v>
      </c>
      <c r="D48" s="17">
        <v>126837006</v>
      </c>
      <c r="E48" s="17">
        <v>115070948</v>
      </c>
    </row>
    <row r="49" spans="1:5">
      <c r="A49" s="2" t="s">
        <v>99</v>
      </c>
      <c r="B49" s="17">
        <v>49065412</v>
      </c>
      <c r="C49" s="17">
        <v>13184173</v>
      </c>
      <c r="D49" s="17">
        <v>91424542</v>
      </c>
      <c r="E49" s="17">
        <v>85371893</v>
      </c>
    </row>
    <row r="50" spans="1:5">
      <c r="A50" s="2" t="s">
        <v>101</v>
      </c>
      <c r="B50" s="17">
        <v>18392803</v>
      </c>
      <c r="C50" s="17">
        <v>4421830</v>
      </c>
      <c r="D50" s="17">
        <v>27217998</v>
      </c>
      <c r="E50" s="17">
        <v>26573444</v>
      </c>
    </row>
    <row r="51" spans="1:5">
      <c r="A51" s="2" t="s">
        <v>103</v>
      </c>
      <c r="B51" s="17">
        <v>54711622</v>
      </c>
      <c r="C51" s="17">
        <v>31527423</v>
      </c>
      <c r="D51" s="17">
        <v>83683631</v>
      </c>
      <c r="E51" s="17">
        <v>75084875</v>
      </c>
    </row>
    <row r="52" spans="1:5">
      <c r="A52" s="2" t="s">
        <v>105</v>
      </c>
      <c r="B52" s="17">
        <v>4786021</v>
      </c>
      <c r="C52" s="17">
        <v>1193578</v>
      </c>
      <c r="D52" s="17">
        <v>8326269</v>
      </c>
      <c r="E52" s="17">
        <v>6847138</v>
      </c>
    </row>
    <row r="53" spans="1:5">
      <c r="A53" s="13" t="s">
        <v>111</v>
      </c>
      <c r="B53" s="18">
        <f>SUM(B2:B52)</f>
        <v>3191696595</v>
      </c>
      <c r="C53" s="18">
        <f>SUM(C2:C52)</f>
        <v>2147123907</v>
      </c>
      <c r="D53" s="18">
        <f>SUM(D2:D52)</f>
        <v>5062182840</v>
      </c>
      <c r="E53" s="4">
        <f>SUM(E2:E52)</f>
        <v>4628846045</v>
      </c>
    </row>
    <row r="54" spans="1:5">
      <c r="E54" s="3"/>
    </row>
    <row r="55" spans="1:5">
      <c r="E55"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7C879-77FC-443B-B569-8CA6FDA5D84E}">
  <dimension ref="A1:Z66"/>
  <sheetViews>
    <sheetView workbookViewId="0">
      <selection activeCell="D72" sqref="D72"/>
    </sheetView>
  </sheetViews>
  <sheetFormatPr baseColWidth="10" defaultColWidth="8.83203125" defaultRowHeight="16"/>
  <cols>
    <col min="1" max="1" width="15.83203125" bestFit="1" customWidth="1"/>
    <col min="2" max="6" width="15.1640625" bestFit="1" customWidth="1"/>
    <col min="7" max="11" width="9.83203125" bestFit="1" customWidth="1"/>
  </cols>
  <sheetData>
    <row r="1" spans="1:26">
      <c r="A1" t="s">
        <v>188</v>
      </c>
      <c r="B1" t="s">
        <v>202</v>
      </c>
      <c r="C1" t="s">
        <v>203</v>
      </c>
      <c r="D1" t="s">
        <v>204</v>
      </c>
      <c r="E1" s="24" t="s">
        <v>205</v>
      </c>
      <c r="F1" t="s">
        <v>206</v>
      </c>
      <c r="G1" t="s">
        <v>207</v>
      </c>
      <c r="H1" t="s">
        <v>208</v>
      </c>
      <c r="I1" t="s">
        <v>209</v>
      </c>
      <c r="J1" t="s">
        <v>210</v>
      </c>
      <c r="K1" t="s">
        <v>211</v>
      </c>
      <c r="L1" t="s">
        <v>212</v>
      </c>
      <c r="M1" t="s">
        <v>213</v>
      </c>
      <c r="N1" t="s">
        <v>214</v>
      </c>
      <c r="O1" t="s">
        <v>215</v>
      </c>
      <c r="P1" t="s">
        <v>216</v>
      </c>
      <c r="Q1" t="s">
        <v>217</v>
      </c>
      <c r="R1" t="s">
        <v>218</v>
      </c>
      <c r="S1" t="s">
        <v>219</v>
      </c>
      <c r="T1" t="s">
        <v>220</v>
      </c>
      <c r="U1" t="s">
        <v>221</v>
      </c>
      <c r="V1" t="s">
        <v>222</v>
      </c>
      <c r="W1" t="s">
        <v>223</v>
      </c>
      <c r="X1" t="s">
        <v>224</v>
      </c>
      <c r="Y1" t="s">
        <v>225</v>
      </c>
      <c r="Z1" t="s">
        <v>226</v>
      </c>
    </row>
    <row r="2" spans="1:26">
      <c r="A2" t="s">
        <v>111</v>
      </c>
      <c r="B2">
        <v>331577720</v>
      </c>
      <c r="C2">
        <v>332099760</v>
      </c>
      <c r="D2">
        <v>334017321</v>
      </c>
      <c r="E2">
        <v>336806231</v>
      </c>
      <c r="F2">
        <v>340110988</v>
      </c>
      <c r="G2">
        <v>894123</v>
      </c>
      <c r="H2">
        <v>3584459</v>
      </c>
      <c r="I2">
        <v>3680380</v>
      </c>
      <c r="J2">
        <v>3648896</v>
      </c>
      <c r="K2">
        <v>3605563</v>
      </c>
      <c r="L2">
        <v>852024</v>
      </c>
      <c r="M2">
        <v>3438423</v>
      </c>
      <c r="N2">
        <v>3456354</v>
      </c>
      <c r="O2">
        <v>3154285</v>
      </c>
      <c r="P2">
        <v>3086925</v>
      </c>
      <c r="Q2">
        <v>19885</v>
      </c>
      <c r="R2">
        <v>376004</v>
      </c>
      <c r="S2">
        <v>1693535</v>
      </c>
      <c r="T2">
        <v>2294299</v>
      </c>
      <c r="U2">
        <v>2786119</v>
      </c>
      <c r="V2">
        <v>0</v>
      </c>
      <c r="W2">
        <v>0</v>
      </c>
      <c r="X2">
        <v>0</v>
      </c>
      <c r="Y2">
        <v>0</v>
      </c>
      <c r="Z2">
        <v>0</v>
      </c>
    </row>
    <row r="3" spans="1:26">
      <c r="A3" t="s">
        <v>189</v>
      </c>
      <c r="B3">
        <v>57431458</v>
      </c>
      <c r="C3">
        <v>57252533</v>
      </c>
      <c r="D3">
        <v>57159597</v>
      </c>
      <c r="E3">
        <v>57398303</v>
      </c>
      <c r="F3">
        <v>57832935</v>
      </c>
      <c r="G3">
        <v>146099</v>
      </c>
      <c r="H3">
        <v>572866</v>
      </c>
      <c r="I3">
        <v>589061</v>
      </c>
      <c r="J3">
        <v>580016</v>
      </c>
      <c r="K3">
        <v>574868</v>
      </c>
      <c r="L3">
        <v>193352</v>
      </c>
      <c r="M3">
        <v>560739</v>
      </c>
      <c r="N3">
        <v>564177</v>
      </c>
      <c r="O3">
        <v>527913</v>
      </c>
      <c r="P3">
        <v>515524</v>
      </c>
      <c r="Q3">
        <v>4430</v>
      </c>
      <c r="R3">
        <v>80445</v>
      </c>
      <c r="S3">
        <v>332834</v>
      </c>
      <c r="T3">
        <v>468264</v>
      </c>
      <c r="U3">
        <v>567420</v>
      </c>
      <c r="V3">
        <v>-132548</v>
      </c>
      <c r="W3">
        <v>-268038</v>
      </c>
      <c r="X3">
        <v>-447635</v>
      </c>
      <c r="Y3">
        <v>-278245</v>
      </c>
      <c r="Z3">
        <v>-192109</v>
      </c>
    </row>
    <row r="4" spans="1:26">
      <c r="A4" t="s">
        <v>190</v>
      </c>
      <c r="B4">
        <v>15057350</v>
      </c>
      <c r="C4">
        <v>15118145</v>
      </c>
      <c r="D4">
        <v>15175633</v>
      </c>
      <c r="E4">
        <v>15263573</v>
      </c>
      <c r="F4">
        <v>15386085</v>
      </c>
      <c r="G4">
        <v>35418</v>
      </c>
      <c r="H4">
        <v>139200</v>
      </c>
      <c r="I4">
        <v>144784</v>
      </c>
      <c r="J4">
        <v>142434</v>
      </c>
      <c r="K4">
        <v>140809</v>
      </c>
      <c r="L4">
        <v>46219</v>
      </c>
      <c r="M4">
        <v>143868</v>
      </c>
      <c r="N4">
        <v>149599</v>
      </c>
      <c r="O4">
        <v>143299</v>
      </c>
      <c r="P4">
        <v>141865</v>
      </c>
      <c r="Q4">
        <v>1563</v>
      </c>
      <c r="R4">
        <v>26729</v>
      </c>
      <c r="S4">
        <v>110315</v>
      </c>
      <c r="T4">
        <v>121836</v>
      </c>
      <c r="U4">
        <v>147466</v>
      </c>
      <c r="V4">
        <v>-47186</v>
      </c>
      <c r="W4">
        <v>36464</v>
      </c>
      <c r="X4">
        <v>-44792</v>
      </c>
      <c r="Y4">
        <v>-31474</v>
      </c>
      <c r="Z4">
        <v>-24138</v>
      </c>
    </row>
    <row r="5" spans="1:26">
      <c r="A5" t="s">
        <v>191</v>
      </c>
      <c r="B5">
        <v>42374108</v>
      </c>
      <c r="C5">
        <v>42134388</v>
      </c>
      <c r="D5">
        <v>41983964</v>
      </c>
      <c r="E5">
        <v>42134730</v>
      </c>
      <c r="F5">
        <v>42446850</v>
      </c>
      <c r="G5">
        <v>110681</v>
      </c>
      <c r="H5">
        <v>433666</v>
      </c>
      <c r="I5">
        <v>444277</v>
      </c>
      <c r="J5">
        <v>437582</v>
      </c>
      <c r="K5">
        <v>434059</v>
      </c>
      <c r="L5">
        <v>147133</v>
      </c>
      <c r="M5">
        <v>416871</v>
      </c>
      <c r="N5">
        <v>414578</v>
      </c>
      <c r="O5">
        <v>384614</v>
      </c>
      <c r="P5">
        <v>373659</v>
      </c>
      <c r="Q5">
        <v>2867</v>
      </c>
      <c r="R5">
        <v>53716</v>
      </c>
      <c r="S5">
        <v>222519</v>
      </c>
      <c r="T5">
        <v>346428</v>
      </c>
      <c r="U5">
        <v>419954</v>
      </c>
      <c r="V5">
        <v>-85362</v>
      </c>
      <c r="W5">
        <v>-304502</v>
      </c>
      <c r="X5">
        <v>-402843</v>
      </c>
      <c r="Y5">
        <v>-246771</v>
      </c>
      <c r="Z5">
        <v>-167971</v>
      </c>
    </row>
    <row r="6" spans="1:26">
      <c r="A6" t="s">
        <v>192</v>
      </c>
      <c r="B6">
        <v>68984258</v>
      </c>
      <c r="C6">
        <v>68872831</v>
      </c>
      <c r="D6">
        <v>68903297</v>
      </c>
      <c r="E6">
        <v>69186401</v>
      </c>
      <c r="F6">
        <v>69596584</v>
      </c>
      <c r="G6">
        <v>190124</v>
      </c>
      <c r="H6">
        <v>748075</v>
      </c>
      <c r="I6">
        <v>754499</v>
      </c>
      <c r="J6">
        <v>744941</v>
      </c>
      <c r="K6">
        <v>735023</v>
      </c>
      <c r="L6">
        <v>186112</v>
      </c>
      <c r="M6">
        <v>762351</v>
      </c>
      <c r="N6">
        <v>771066</v>
      </c>
      <c r="O6">
        <v>700950</v>
      </c>
      <c r="P6">
        <v>682282</v>
      </c>
      <c r="Q6">
        <v>3077</v>
      </c>
      <c r="R6">
        <v>55284</v>
      </c>
      <c r="S6">
        <v>243973</v>
      </c>
      <c r="T6">
        <v>335497</v>
      </c>
      <c r="U6">
        <v>406737</v>
      </c>
      <c r="V6">
        <v>-34544</v>
      </c>
      <c r="W6">
        <v>-172519</v>
      </c>
      <c r="X6">
        <v>-182537</v>
      </c>
      <c r="Y6">
        <v>-89787</v>
      </c>
      <c r="Z6">
        <v>-49214</v>
      </c>
    </row>
    <row r="7" spans="1:26">
      <c r="A7" t="s">
        <v>193</v>
      </c>
      <c r="B7">
        <v>47358568</v>
      </c>
      <c r="C7">
        <v>47206851</v>
      </c>
      <c r="D7">
        <v>47199092</v>
      </c>
      <c r="E7">
        <v>47360185</v>
      </c>
      <c r="F7">
        <v>47619171</v>
      </c>
      <c r="G7">
        <v>127370</v>
      </c>
      <c r="H7">
        <v>500691</v>
      </c>
      <c r="I7">
        <v>504380</v>
      </c>
      <c r="J7">
        <v>496713</v>
      </c>
      <c r="K7">
        <v>490386</v>
      </c>
      <c r="L7">
        <v>133427</v>
      </c>
      <c r="M7">
        <v>530365</v>
      </c>
      <c r="N7">
        <v>537354</v>
      </c>
      <c r="O7">
        <v>485487</v>
      </c>
      <c r="P7">
        <v>471455</v>
      </c>
      <c r="Q7">
        <v>1990</v>
      </c>
      <c r="R7">
        <v>36997</v>
      </c>
      <c r="S7">
        <v>180613</v>
      </c>
      <c r="T7">
        <v>243928</v>
      </c>
      <c r="U7">
        <v>295939</v>
      </c>
      <c r="V7">
        <v>-28083</v>
      </c>
      <c r="W7">
        <v>-172440</v>
      </c>
      <c r="X7">
        <v>-144956</v>
      </c>
      <c r="Y7">
        <v>-89430</v>
      </c>
      <c r="Z7">
        <v>-55753</v>
      </c>
    </row>
    <row r="8" spans="1:26">
      <c r="A8" t="s">
        <v>194</v>
      </c>
      <c r="B8">
        <v>21625690</v>
      </c>
      <c r="C8">
        <v>21665980</v>
      </c>
      <c r="D8">
        <v>21704205</v>
      </c>
      <c r="E8">
        <v>21826216</v>
      </c>
      <c r="F8">
        <v>21977413</v>
      </c>
      <c r="G8">
        <v>62754</v>
      </c>
      <c r="H8">
        <v>247384</v>
      </c>
      <c r="I8">
        <v>250119</v>
      </c>
      <c r="J8">
        <v>248228</v>
      </c>
      <c r="K8">
        <v>244637</v>
      </c>
      <c r="L8">
        <v>52685</v>
      </c>
      <c r="M8">
        <v>231986</v>
      </c>
      <c r="N8">
        <v>233712</v>
      </c>
      <c r="O8">
        <v>215463</v>
      </c>
      <c r="P8">
        <v>210827</v>
      </c>
      <c r="Q8">
        <v>1087</v>
      </c>
      <c r="R8">
        <v>18287</v>
      </c>
      <c r="S8">
        <v>63360</v>
      </c>
      <c r="T8">
        <v>91569</v>
      </c>
      <c r="U8">
        <v>110798</v>
      </c>
      <c r="V8">
        <v>-6461</v>
      </c>
      <c r="W8">
        <v>-79</v>
      </c>
      <c r="X8">
        <v>-37581</v>
      </c>
      <c r="Y8">
        <v>-357</v>
      </c>
      <c r="Z8">
        <v>6539</v>
      </c>
    </row>
    <row r="9" spans="1:26">
      <c r="A9" t="s">
        <v>195</v>
      </c>
      <c r="B9">
        <v>126476549</v>
      </c>
      <c r="C9">
        <v>127368010</v>
      </c>
      <c r="D9">
        <v>129037849</v>
      </c>
      <c r="E9">
        <v>130893358</v>
      </c>
      <c r="F9">
        <v>132665693</v>
      </c>
      <c r="G9">
        <v>348216</v>
      </c>
      <c r="H9">
        <v>1426583</v>
      </c>
      <c r="I9">
        <v>1480458</v>
      </c>
      <c r="J9">
        <v>1487989</v>
      </c>
      <c r="K9">
        <v>1471082</v>
      </c>
      <c r="L9">
        <v>314436</v>
      </c>
      <c r="M9">
        <v>1404454</v>
      </c>
      <c r="N9">
        <v>1415095</v>
      </c>
      <c r="O9">
        <v>1268885</v>
      </c>
      <c r="P9">
        <v>1252515</v>
      </c>
      <c r="Q9">
        <v>8958</v>
      </c>
      <c r="R9">
        <v>155224</v>
      </c>
      <c r="S9">
        <v>732105</v>
      </c>
      <c r="T9">
        <v>946164</v>
      </c>
      <c r="U9">
        <v>1144168</v>
      </c>
      <c r="V9">
        <v>157428</v>
      </c>
      <c r="W9">
        <v>719421</v>
      </c>
      <c r="X9">
        <v>849097</v>
      </c>
      <c r="Y9">
        <v>678977</v>
      </c>
      <c r="Z9">
        <v>411004</v>
      </c>
    </row>
    <row r="10" spans="1:26">
      <c r="A10" t="s">
        <v>196</v>
      </c>
      <c r="B10">
        <v>66176865</v>
      </c>
      <c r="C10">
        <v>66680852</v>
      </c>
      <c r="D10">
        <v>67657171</v>
      </c>
      <c r="E10">
        <v>68684308</v>
      </c>
      <c r="F10">
        <v>69676509</v>
      </c>
      <c r="G10">
        <v>172106</v>
      </c>
      <c r="H10">
        <v>699222</v>
      </c>
      <c r="I10">
        <v>727841</v>
      </c>
      <c r="J10">
        <v>727232</v>
      </c>
      <c r="K10">
        <v>719506</v>
      </c>
      <c r="L10">
        <v>168589</v>
      </c>
      <c r="M10">
        <v>727660</v>
      </c>
      <c r="N10">
        <v>744487</v>
      </c>
      <c r="O10">
        <v>673173</v>
      </c>
      <c r="P10">
        <v>664810</v>
      </c>
      <c r="Q10">
        <v>6020</v>
      </c>
      <c r="R10">
        <v>97731</v>
      </c>
      <c r="S10">
        <v>461544</v>
      </c>
      <c r="T10">
        <v>580015</v>
      </c>
      <c r="U10">
        <v>699317</v>
      </c>
      <c r="V10">
        <v>78647</v>
      </c>
      <c r="W10">
        <v>441651</v>
      </c>
      <c r="X10">
        <v>514124</v>
      </c>
      <c r="Y10">
        <v>384683</v>
      </c>
      <c r="Z10">
        <v>238782</v>
      </c>
    </row>
    <row r="11" spans="1:26">
      <c r="A11" t="s">
        <v>197</v>
      </c>
      <c r="B11">
        <v>19427852</v>
      </c>
      <c r="C11">
        <v>19469728</v>
      </c>
      <c r="D11">
        <v>19599570</v>
      </c>
      <c r="E11">
        <v>19759744</v>
      </c>
      <c r="F11">
        <v>19916866</v>
      </c>
      <c r="G11">
        <v>54199</v>
      </c>
      <c r="H11">
        <v>223014</v>
      </c>
      <c r="I11">
        <v>227419</v>
      </c>
      <c r="J11">
        <v>229206</v>
      </c>
      <c r="K11">
        <v>226871</v>
      </c>
      <c r="L11">
        <v>56539</v>
      </c>
      <c r="M11">
        <v>258535</v>
      </c>
      <c r="N11">
        <v>260718</v>
      </c>
      <c r="O11">
        <v>231425</v>
      </c>
      <c r="P11">
        <v>228121</v>
      </c>
      <c r="Q11">
        <v>519</v>
      </c>
      <c r="R11">
        <v>7303</v>
      </c>
      <c r="S11">
        <v>45639</v>
      </c>
      <c r="T11">
        <v>67480</v>
      </c>
      <c r="U11">
        <v>81630</v>
      </c>
      <c r="V11">
        <v>23562</v>
      </c>
      <c r="W11">
        <v>67560</v>
      </c>
      <c r="X11">
        <v>115904</v>
      </c>
      <c r="Y11">
        <v>94055</v>
      </c>
      <c r="Z11">
        <v>76859</v>
      </c>
    </row>
    <row r="12" spans="1:26">
      <c r="A12" t="s">
        <v>198</v>
      </c>
      <c r="B12">
        <v>40871832</v>
      </c>
      <c r="C12">
        <v>41217430</v>
      </c>
      <c r="D12">
        <v>41781108</v>
      </c>
      <c r="E12">
        <v>42449306</v>
      </c>
      <c r="F12">
        <v>43072318</v>
      </c>
      <c r="G12">
        <v>121911</v>
      </c>
      <c r="H12">
        <v>504347</v>
      </c>
      <c r="I12">
        <v>525198</v>
      </c>
      <c r="J12">
        <v>531551</v>
      </c>
      <c r="K12">
        <v>524705</v>
      </c>
      <c r="L12">
        <v>89308</v>
      </c>
      <c r="M12">
        <v>418259</v>
      </c>
      <c r="N12">
        <v>409890</v>
      </c>
      <c r="O12">
        <v>364287</v>
      </c>
      <c r="P12">
        <v>359584</v>
      </c>
      <c r="Q12">
        <v>2419</v>
      </c>
      <c r="R12">
        <v>50190</v>
      </c>
      <c r="S12">
        <v>224922</v>
      </c>
      <c r="T12">
        <v>298669</v>
      </c>
      <c r="U12">
        <v>363221</v>
      </c>
      <c r="V12">
        <v>55219</v>
      </c>
      <c r="W12">
        <v>210210</v>
      </c>
      <c r="X12">
        <v>219069</v>
      </c>
      <c r="Y12">
        <v>200239</v>
      </c>
      <c r="Z12">
        <v>95363</v>
      </c>
    </row>
    <row r="13" spans="1:26">
      <c r="A13" t="s">
        <v>199</v>
      </c>
      <c r="B13">
        <v>78685455</v>
      </c>
      <c r="C13">
        <v>78606386</v>
      </c>
      <c r="D13">
        <v>78916578</v>
      </c>
      <c r="E13">
        <v>79328169</v>
      </c>
      <c r="F13">
        <v>80015776</v>
      </c>
      <c r="G13">
        <v>209684</v>
      </c>
      <c r="H13">
        <v>836935</v>
      </c>
      <c r="I13">
        <v>856362</v>
      </c>
      <c r="J13">
        <v>835950</v>
      </c>
      <c r="K13">
        <v>824590</v>
      </c>
      <c r="L13">
        <v>158124</v>
      </c>
      <c r="M13">
        <v>710879</v>
      </c>
      <c r="N13">
        <v>706016</v>
      </c>
      <c r="O13">
        <v>656537</v>
      </c>
      <c r="P13">
        <v>636604</v>
      </c>
      <c r="Q13">
        <v>3420</v>
      </c>
      <c r="R13">
        <v>85051</v>
      </c>
      <c r="S13">
        <v>384623</v>
      </c>
      <c r="T13">
        <v>544374</v>
      </c>
      <c r="U13">
        <v>667794</v>
      </c>
      <c r="V13">
        <v>9664</v>
      </c>
      <c r="W13">
        <v>-278864</v>
      </c>
      <c r="X13">
        <v>-218925</v>
      </c>
      <c r="Y13">
        <v>-310945</v>
      </c>
      <c r="Z13">
        <v>-169681</v>
      </c>
    </row>
    <row r="14" spans="1:26">
      <c r="A14" t="s">
        <v>200</v>
      </c>
      <c r="B14">
        <v>25008240</v>
      </c>
      <c r="C14">
        <v>25284332</v>
      </c>
      <c r="D14">
        <v>25557868</v>
      </c>
      <c r="E14">
        <v>25840606</v>
      </c>
      <c r="F14">
        <v>26167683</v>
      </c>
      <c r="G14">
        <v>68923</v>
      </c>
      <c r="H14">
        <v>277185</v>
      </c>
      <c r="I14">
        <v>282774</v>
      </c>
      <c r="J14">
        <v>280187</v>
      </c>
      <c r="K14">
        <v>279433</v>
      </c>
      <c r="L14">
        <v>54811</v>
      </c>
      <c r="M14">
        <v>241187</v>
      </c>
      <c r="N14">
        <v>250145</v>
      </c>
      <c r="O14">
        <v>222973</v>
      </c>
      <c r="P14">
        <v>220262</v>
      </c>
      <c r="Q14">
        <v>1020</v>
      </c>
      <c r="R14">
        <v>21404</v>
      </c>
      <c r="S14">
        <v>89017</v>
      </c>
      <c r="T14">
        <v>152105</v>
      </c>
      <c r="U14">
        <v>185644</v>
      </c>
      <c r="V14">
        <v>65476</v>
      </c>
      <c r="W14">
        <v>218375</v>
      </c>
      <c r="X14">
        <v>150629</v>
      </c>
      <c r="Y14">
        <v>74310</v>
      </c>
      <c r="Z14">
        <v>81480</v>
      </c>
    </row>
    <row r="15" spans="1:26">
      <c r="A15" t="s">
        <v>201</v>
      </c>
      <c r="B15">
        <v>53677215</v>
      </c>
      <c r="C15">
        <v>53322054</v>
      </c>
      <c r="D15">
        <v>53358710</v>
      </c>
      <c r="E15">
        <v>53487563</v>
      </c>
      <c r="F15">
        <v>53848093</v>
      </c>
      <c r="G15">
        <v>140761</v>
      </c>
      <c r="H15">
        <v>559750</v>
      </c>
      <c r="I15">
        <v>573588</v>
      </c>
      <c r="J15">
        <v>555763</v>
      </c>
      <c r="K15">
        <v>545157</v>
      </c>
      <c r="L15">
        <v>103313</v>
      </c>
      <c r="M15">
        <v>469692</v>
      </c>
      <c r="N15">
        <v>455871</v>
      </c>
      <c r="O15">
        <v>433564</v>
      </c>
      <c r="P15">
        <v>416342</v>
      </c>
      <c r="Q15">
        <v>2400</v>
      </c>
      <c r="R15">
        <v>63647</v>
      </c>
      <c r="S15">
        <v>295606</v>
      </c>
      <c r="T15">
        <v>392269</v>
      </c>
      <c r="U15">
        <v>482150</v>
      </c>
      <c r="V15">
        <v>-55812</v>
      </c>
      <c r="W15">
        <v>-497239</v>
      </c>
      <c r="X15">
        <v>-369554</v>
      </c>
      <c r="Y15">
        <v>-385255</v>
      </c>
      <c r="Z15">
        <v>-251161</v>
      </c>
    </row>
    <row r="16" spans="1:26">
      <c r="A16" t="s">
        <v>3</v>
      </c>
      <c r="B16">
        <v>5033094</v>
      </c>
      <c r="C16">
        <v>5049196</v>
      </c>
      <c r="D16">
        <v>5076181</v>
      </c>
      <c r="E16">
        <v>5117673</v>
      </c>
      <c r="F16">
        <v>5157699</v>
      </c>
      <c r="G16">
        <v>13867</v>
      </c>
      <c r="H16">
        <v>57184</v>
      </c>
      <c r="I16">
        <v>58103</v>
      </c>
      <c r="J16">
        <v>58528</v>
      </c>
      <c r="K16">
        <v>57541</v>
      </c>
      <c r="L16">
        <v>15146</v>
      </c>
      <c r="M16">
        <v>69134</v>
      </c>
      <c r="N16">
        <v>67246</v>
      </c>
      <c r="O16">
        <v>60059</v>
      </c>
      <c r="P16">
        <v>59273</v>
      </c>
      <c r="Q16">
        <v>133</v>
      </c>
      <c r="R16">
        <v>1804</v>
      </c>
      <c r="S16">
        <v>8155</v>
      </c>
      <c r="T16">
        <v>12995</v>
      </c>
      <c r="U16">
        <v>15763</v>
      </c>
      <c r="V16">
        <v>9757</v>
      </c>
      <c r="W16">
        <v>25175</v>
      </c>
      <c r="X16">
        <v>28226</v>
      </c>
      <c r="Y16">
        <v>29946</v>
      </c>
      <c r="Z16">
        <v>26028</v>
      </c>
    </row>
    <row r="17" spans="1:26">
      <c r="A17" t="s">
        <v>6</v>
      </c>
      <c r="B17">
        <v>733017</v>
      </c>
      <c r="C17">
        <v>734420</v>
      </c>
      <c r="D17">
        <v>734442</v>
      </c>
      <c r="E17">
        <v>736510</v>
      </c>
      <c r="F17">
        <v>740133</v>
      </c>
      <c r="G17">
        <v>2406</v>
      </c>
      <c r="H17">
        <v>9454</v>
      </c>
      <c r="I17">
        <v>9359</v>
      </c>
      <c r="J17">
        <v>9132</v>
      </c>
      <c r="K17">
        <v>9014</v>
      </c>
      <c r="L17">
        <v>1169</v>
      </c>
      <c r="M17">
        <v>5333</v>
      </c>
      <c r="N17">
        <v>6388</v>
      </c>
      <c r="O17">
        <v>5597</v>
      </c>
      <c r="P17">
        <v>5642</v>
      </c>
      <c r="Q17">
        <v>65</v>
      </c>
      <c r="R17">
        <v>873</v>
      </c>
      <c r="S17">
        <v>2818</v>
      </c>
      <c r="T17">
        <v>3391</v>
      </c>
      <c r="U17">
        <v>4029</v>
      </c>
      <c r="V17">
        <v>-1634</v>
      </c>
      <c r="W17">
        <v>-3438</v>
      </c>
      <c r="X17">
        <v>-5832</v>
      </c>
      <c r="Y17">
        <v>-4886</v>
      </c>
      <c r="Z17">
        <v>-3774</v>
      </c>
    </row>
    <row r="18" spans="1:26">
      <c r="A18" t="s">
        <v>9</v>
      </c>
      <c r="B18">
        <v>7187135</v>
      </c>
      <c r="C18">
        <v>7274078</v>
      </c>
      <c r="D18">
        <v>7377566</v>
      </c>
      <c r="E18">
        <v>7473027</v>
      </c>
      <c r="F18">
        <v>7582384</v>
      </c>
      <c r="G18">
        <v>18110</v>
      </c>
      <c r="H18">
        <v>75693</v>
      </c>
      <c r="I18">
        <v>79173</v>
      </c>
      <c r="J18">
        <v>78647</v>
      </c>
      <c r="K18">
        <v>78322</v>
      </c>
      <c r="L18">
        <v>17991</v>
      </c>
      <c r="M18">
        <v>80277</v>
      </c>
      <c r="N18">
        <v>79806</v>
      </c>
      <c r="O18">
        <v>70779</v>
      </c>
      <c r="P18">
        <v>68662</v>
      </c>
      <c r="Q18">
        <v>251</v>
      </c>
      <c r="R18">
        <v>8017</v>
      </c>
      <c r="S18">
        <v>33411</v>
      </c>
      <c r="T18">
        <v>52767</v>
      </c>
      <c r="U18">
        <v>64486</v>
      </c>
      <c r="V18">
        <v>30189</v>
      </c>
      <c r="W18">
        <v>83565</v>
      </c>
      <c r="X18">
        <v>68790</v>
      </c>
      <c r="Y18">
        <v>35208</v>
      </c>
      <c r="Z18">
        <v>34902</v>
      </c>
    </row>
    <row r="19" spans="1:26">
      <c r="A19" t="s">
        <v>11</v>
      </c>
      <c r="B19">
        <v>3014546</v>
      </c>
      <c r="C19">
        <v>3026870</v>
      </c>
      <c r="D19">
        <v>3047704</v>
      </c>
      <c r="E19">
        <v>3069463</v>
      </c>
      <c r="F19">
        <v>3088354</v>
      </c>
      <c r="G19">
        <v>8509</v>
      </c>
      <c r="H19">
        <v>34928</v>
      </c>
      <c r="I19">
        <v>36115</v>
      </c>
      <c r="J19">
        <v>35298</v>
      </c>
      <c r="K19">
        <v>35161</v>
      </c>
      <c r="L19">
        <v>8466</v>
      </c>
      <c r="M19">
        <v>40117</v>
      </c>
      <c r="N19">
        <v>40295</v>
      </c>
      <c r="O19">
        <v>36414</v>
      </c>
      <c r="P19">
        <v>35888</v>
      </c>
      <c r="Q19">
        <v>95</v>
      </c>
      <c r="R19">
        <v>1347</v>
      </c>
      <c r="S19">
        <v>6177</v>
      </c>
      <c r="T19">
        <v>4966</v>
      </c>
      <c r="U19">
        <v>6152</v>
      </c>
      <c r="V19">
        <v>2601</v>
      </c>
      <c r="W19">
        <v>15880</v>
      </c>
      <c r="X19">
        <v>18873</v>
      </c>
      <c r="Y19">
        <v>17821</v>
      </c>
      <c r="Z19">
        <v>13465</v>
      </c>
    </row>
    <row r="20" spans="1:26">
      <c r="A20" t="s">
        <v>13</v>
      </c>
      <c r="B20">
        <v>39521958</v>
      </c>
      <c r="C20">
        <v>39142565</v>
      </c>
      <c r="D20">
        <v>39142414</v>
      </c>
      <c r="E20">
        <v>39198693</v>
      </c>
      <c r="F20">
        <v>39431263</v>
      </c>
      <c r="G20">
        <v>103133</v>
      </c>
      <c r="H20">
        <v>412507</v>
      </c>
      <c r="I20">
        <v>424071</v>
      </c>
      <c r="J20">
        <v>410377</v>
      </c>
      <c r="K20">
        <v>400601</v>
      </c>
      <c r="L20">
        <v>74572</v>
      </c>
      <c r="M20">
        <v>345285</v>
      </c>
      <c r="N20">
        <v>318719</v>
      </c>
      <c r="O20">
        <v>303733</v>
      </c>
      <c r="P20">
        <v>290135</v>
      </c>
      <c r="Q20">
        <v>1372</v>
      </c>
      <c r="R20">
        <v>44127</v>
      </c>
      <c r="S20">
        <v>234953</v>
      </c>
      <c r="T20">
        <v>292721</v>
      </c>
      <c r="U20">
        <v>361057</v>
      </c>
      <c r="V20">
        <v>-67219</v>
      </c>
      <c r="W20">
        <v>-477586</v>
      </c>
      <c r="X20">
        <v>-336707</v>
      </c>
      <c r="Y20">
        <v>-344029</v>
      </c>
      <c r="Z20">
        <v>-239575</v>
      </c>
    </row>
    <row r="21" spans="1:26">
      <c r="A21" t="s">
        <v>15</v>
      </c>
      <c r="B21">
        <v>5787129</v>
      </c>
      <c r="C21">
        <v>5814036</v>
      </c>
      <c r="D21">
        <v>5850935</v>
      </c>
      <c r="E21">
        <v>5901339</v>
      </c>
      <c r="F21">
        <v>5957493</v>
      </c>
      <c r="G21">
        <v>15593</v>
      </c>
      <c r="H21">
        <v>62138</v>
      </c>
      <c r="I21">
        <v>62659</v>
      </c>
      <c r="J21">
        <v>62309</v>
      </c>
      <c r="K21">
        <v>62497</v>
      </c>
      <c r="L21">
        <v>11905</v>
      </c>
      <c r="M21">
        <v>46475</v>
      </c>
      <c r="N21">
        <v>49577</v>
      </c>
      <c r="O21">
        <v>45275</v>
      </c>
      <c r="P21">
        <v>45203</v>
      </c>
      <c r="Q21">
        <v>240</v>
      </c>
      <c r="R21">
        <v>3911</v>
      </c>
      <c r="S21">
        <v>18507</v>
      </c>
      <c r="T21">
        <v>27177</v>
      </c>
      <c r="U21">
        <v>33227</v>
      </c>
      <c r="V21">
        <v>7365</v>
      </c>
      <c r="W21">
        <v>5817</v>
      </c>
      <c r="X21">
        <v>6227</v>
      </c>
      <c r="Y21">
        <v>6341</v>
      </c>
      <c r="Z21">
        <v>5422</v>
      </c>
    </row>
    <row r="22" spans="1:26">
      <c r="A22" t="s">
        <v>17</v>
      </c>
      <c r="B22">
        <v>3579918</v>
      </c>
      <c r="C22">
        <v>3606607</v>
      </c>
      <c r="D22">
        <v>3617925</v>
      </c>
      <c r="E22">
        <v>3643023</v>
      </c>
      <c r="F22">
        <v>3675069</v>
      </c>
      <c r="G22">
        <v>8465</v>
      </c>
      <c r="H22">
        <v>33942</v>
      </c>
      <c r="I22">
        <v>35637</v>
      </c>
      <c r="J22">
        <v>35115</v>
      </c>
      <c r="K22">
        <v>34609</v>
      </c>
      <c r="L22">
        <v>11949</v>
      </c>
      <c r="M22">
        <v>34586</v>
      </c>
      <c r="N22">
        <v>34874</v>
      </c>
      <c r="O22">
        <v>32977</v>
      </c>
      <c r="P22">
        <v>32778</v>
      </c>
      <c r="Q22">
        <v>408</v>
      </c>
      <c r="R22">
        <v>6215</v>
      </c>
      <c r="S22">
        <v>22355</v>
      </c>
      <c r="T22">
        <v>29968</v>
      </c>
      <c r="U22">
        <v>36214</v>
      </c>
      <c r="V22">
        <v>-20684</v>
      </c>
      <c r="W22">
        <v>19406</v>
      </c>
      <c r="X22">
        <v>-10406</v>
      </c>
      <c r="Y22">
        <v>-6462</v>
      </c>
      <c r="Z22">
        <v>-6060</v>
      </c>
    </row>
    <row r="23" spans="1:26">
      <c r="A23" t="s">
        <v>20</v>
      </c>
      <c r="B23">
        <v>991928</v>
      </c>
      <c r="C23">
        <v>1005062</v>
      </c>
      <c r="D23">
        <v>1020625</v>
      </c>
      <c r="E23">
        <v>1036423</v>
      </c>
      <c r="F23">
        <v>1051917</v>
      </c>
      <c r="G23">
        <v>2579</v>
      </c>
      <c r="H23">
        <v>10174</v>
      </c>
      <c r="I23">
        <v>10849</v>
      </c>
      <c r="J23">
        <v>10718</v>
      </c>
      <c r="K23">
        <v>10437</v>
      </c>
      <c r="L23">
        <v>2959</v>
      </c>
      <c r="M23">
        <v>11233</v>
      </c>
      <c r="N23">
        <v>11511</v>
      </c>
      <c r="O23">
        <v>10920</v>
      </c>
      <c r="P23">
        <v>10458</v>
      </c>
      <c r="Q23">
        <v>64</v>
      </c>
      <c r="R23">
        <v>939</v>
      </c>
      <c r="S23">
        <v>3477</v>
      </c>
      <c r="T23">
        <v>5985</v>
      </c>
      <c r="U23">
        <v>7283</v>
      </c>
      <c r="V23">
        <v>2232</v>
      </c>
      <c r="W23">
        <v>13461</v>
      </c>
      <c r="X23">
        <v>12578</v>
      </c>
      <c r="Y23">
        <v>9931</v>
      </c>
      <c r="Z23">
        <v>8155</v>
      </c>
    </row>
    <row r="24" spans="1:26">
      <c r="A24" t="s">
        <v>107</v>
      </c>
      <c r="B24">
        <v>670917</v>
      </c>
      <c r="C24">
        <v>669256</v>
      </c>
      <c r="D24">
        <v>676725</v>
      </c>
      <c r="E24">
        <v>687324</v>
      </c>
      <c r="F24">
        <v>702250</v>
      </c>
      <c r="G24">
        <v>2187</v>
      </c>
      <c r="H24">
        <v>8508</v>
      </c>
      <c r="I24">
        <v>8502</v>
      </c>
      <c r="J24">
        <v>8061</v>
      </c>
      <c r="K24">
        <v>7746</v>
      </c>
      <c r="L24">
        <v>2007</v>
      </c>
      <c r="M24">
        <v>5840</v>
      </c>
      <c r="N24">
        <v>5603</v>
      </c>
      <c r="O24">
        <v>5035</v>
      </c>
      <c r="P24">
        <v>4985</v>
      </c>
      <c r="Q24">
        <v>53</v>
      </c>
      <c r="R24">
        <v>1747</v>
      </c>
      <c r="S24">
        <v>10017</v>
      </c>
      <c r="T24">
        <v>10320</v>
      </c>
      <c r="U24">
        <v>12502</v>
      </c>
      <c r="V24">
        <v>-15117</v>
      </c>
      <c r="W24">
        <v>-6432</v>
      </c>
      <c r="X24">
        <v>-4864</v>
      </c>
      <c r="Y24">
        <v>-2580</v>
      </c>
      <c r="Z24">
        <v>-337</v>
      </c>
    </row>
    <row r="25" spans="1:26">
      <c r="A25" t="s">
        <v>22</v>
      </c>
      <c r="B25">
        <v>21592035</v>
      </c>
      <c r="C25">
        <v>21831949</v>
      </c>
      <c r="D25">
        <v>22379312</v>
      </c>
      <c r="E25">
        <v>22904868</v>
      </c>
      <c r="F25">
        <v>23372215</v>
      </c>
      <c r="G25">
        <v>50294</v>
      </c>
      <c r="H25">
        <v>207942</v>
      </c>
      <c r="I25">
        <v>221941</v>
      </c>
      <c r="J25">
        <v>224041</v>
      </c>
      <c r="K25">
        <v>220659</v>
      </c>
      <c r="L25">
        <v>56387</v>
      </c>
      <c r="M25">
        <v>250412</v>
      </c>
      <c r="N25">
        <v>260497</v>
      </c>
      <c r="O25">
        <v>231613</v>
      </c>
      <c r="P25">
        <v>227980</v>
      </c>
      <c r="Q25">
        <v>2842</v>
      </c>
      <c r="R25">
        <v>46853</v>
      </c>
      <c r="S25">
        <v>255915</v>
      </c>
      <c r="T25">
        <v>342211</v>
      </c>
      <c r="U25">
        <v>411322</v>
      </c>
      <c r="V25">
        <v>62600</v>
      </c>
      <c r="W25">
        <v>246571</v>
      </c>
      <c r="X25">
        <v>314467</v>
      </c>
      <c r="Y25">
        <v>185067</v>
      </c>
      <c r="Z25">
        <v>64017</v>
      </c>
    </row>
    <row r="26" spans="1:26">
      <c r="A26" t="s">
        <v>24</v>
      </c>
      <c r="B26">
        <v>10732888</v>
      </c>
      <c r="C26">
        <v>10792060</v>
      </c>
      <c r="D26">
        <v>10931805</v>
      </c>
      <c r="E26">
        <v>11064432</v>
      </c>
      <c r="F26">
        <v>11180878</v>
      </c>
      <c r="G26">
        <v>29847</v>
      </c>
      <c r="H26">
        <v>121274</v>
      </c>
      <c r="I26">
        <v>125616</v>
      </c>
      <c r="J26">
        <v>126127</v>
      </c>
      <c r="K26">
        <v>125502</v>
      </c>
      <c r="L26">
        <v>24783</v>
      </c>
      <c r="M26">
        <v>109479</v>
      </c>
      <c r="N26">
        <v>110352</v>
      </c>
      <c r="O26">
        <v>98278</v>
      </c>
      <c r="P26">
        <v>97250</v>
      </c>
      <c r="Q26">
        <v>731</v>
      </c>
      <c r="R26">
        <v>10157</v>
      </c>
      <c r="S26">
        <v>44634</v>
      </c>
      <c r="T26">
        <v>51941</v>
      </c>
      <c r="U26">
        <v>63088</v>
      </c>
      <c r="V26">
        <v>11925</v>
      </c>
      <c r="W26">
        <v>36384</v>
      </c>
      <c r="X26">
        <v>79891</v>
      </c>
      <c r="Y26">
        <v>52290</v>
      </c>
      <c r="Z26">
        <v>25321</v>
      </c>
    </row>
    <row r="27" spans="1:26">
      <c r="A27" t="s">
        <v>26</v>
      </c>
      <c r="B27">
        <v>1451252</v>
      </c>
      <c r="C27">
        <v>1447029</v>
      </c>
      <c r="D27">
        <v>1440359</v>
      </c>
      <c r="E27">
        <v>1441387</v>
      </c>
      <c r="F27">
        <v>1446146</v>
      </c>
      <c r="G27">
        <v>3836</v>
      </c>
      <c r="H27">
        <v>15528</v>
      </c>
      <c r="I27">
        <v>15730</v>
      </c>
      <c r="J27">
        <v>15254</v>
      </c>
      <c r="K27">
        <v>14682</v>
      </c>
      <c r="L27">
        <v>2837</v>
      </c>
      <c r="M27">
        <v>12169</v>
      </c>
      <c r="N27">
        <v>13440</v>
      </c>
      <c r="O27">
        <v>12913</v>
      </c>
      <c r="P27">
        <v>12411</v>
      </c>
      <c r="Q27">
        <v>119</v>
      </c>
      <c r="R27">
        <v>2047</v>
      </c>
      <c r="S27">
        <v>6833</v>
      </c>
      <c r="T27">
        <v>9843</v>
      </c>
      <c r="U27">
        <v>11893</v>
      </c>
      <c r="V27">
        <v>-4736</v>
      </c>
      <c r="W27">
        <v>-9831</v>
      </c>
      <c r="X27">
        <v>-15833</v>
      </c>
      <c r="Y27">
        <v>-11033</v>
      </c>
      <c r="Z27">
        <v>-9321</v>
      </c>
    </row>
    <row r="28" spans="1:26">
      <c r="A28" t="s">
        <v>28</v>
      </c>
      <c r="B28">
        <v>1849415</v>
      </c>
      <c r="C28">
        <v>1904848</v>
      </c>
      <c r="D28">
        <v>1944299</v>
      </c>
      <c r="E28">
        <v>1971122</v>
      </c>
      <c r="F28">
        <v>2001619</v>
      </c>
      <c r="G28">
        <v>5467</v>
      </c>
      <c r="H28">
        <v>21850</v>
      </c>
      <c r="I28">
        <v>22384</v>
      </c>
      <c r="J28">
        <v>22334</v>
      </c>
      <c r="K28">
        <v>22830</v>
      </c>
      <c r="L28">
        <v>3623</v>
      </c>
      <c r="M28">
        <v>17115</v>
      </c>
      <c r="N28">
        <v>18941</v>
      </c>
      <c r="O28">
        <v>16798</v>
      </c>
      <c r="P28">
        <v>16635</v>
      </c>
      <c r="Q28">
        <v>58</v>
      </c>
      <c r="R28">
        <v>698</v>
      </c>
      <c r="S28">
        <v>6955</v>
      </c>
      <c r="T28">
        <v>6419</v>
      </c>
      <c r="U28">
        <v>7899</v>
      </c>
      <c r="V28">
        <v>8891</v>
      </c>
      <c r="W28">
        <v>51978</v>
      </c>
      <c r="X28">
        <v>28368</v>
      </c>
      <c r="Y28">
        <v>14730</v>
      </c>
      <c r="Z28">
        <v>16383</v>
      </c>
    </row>
    <row r="29" spans="1:26">
      <c r="A29" t="s">
        <v>30</v>
      </c>
      <c r="B29">
        <v>12799088</v>
      </c>
      <c r="C29">
        <v>12700641</v>
      </c>
      <c r="D29">
        <v>12621821</v>
      </c>
      <c r="E29">
        <v>12642259</v>
      </c>
      <c r="F29">
        <v>12710158</v>
      </c>
      <c r="G29">
        <v>33452</v>
      </c>
      <c r="H29">
        <v>131890</v>
      </c>
      <c r="I29">
        <v>129795</v>
      </c>
      <c r="J29">
        <v>127001</v>
      </c>
      <c r="K29">
        <v>125355</v>
      </c>
      <c r="L29">
        <v>35280</v>
      </c>
      <c r="M29">
        <v>128378</v>
      </c>
      <c r="N29">
        <v>127015</v>
      </c>
      <c r="O29">
        <v>116911</v>
      </c>
      <c r="P29">
        <v>114343</v>
      </c>
      <c r="Q29">
        <v>508</v>
      </c>
      <c r="R29">
        <v>11421</v>
      </c>
      <c r="S29">
        <v>60951</v>
      </c>
      <c r="T29">
        <v>92822</v>
      </c>
      <c r="U29">
        <v>112955</v>
      </c>
      <c r="V29">
        <v>-22335</v>
      </c>
      <c r="W29">
        <v>-114221</v>
      </c>
      <c r="X29">
        <v>-143390</v>
      </c>
      <c r="Y29">
        <v>-81875</v>
      </c>
      <c r="Z29">
        <v>-56235</v>
      </c>
    </row>
    <row r="30" spans="1:26">
      <c r="A30" t="s">
        <v>33</v>
      </c>
      <c r="B30">
        <v>6790497</v>
      </c>
      <c r="C30">
        <v>6815907</v>
      </c>
      <c r="D30">
        <v>6844545</v>
      </c>
      <c r="E30">
        <v>6880131</v>
      </c>
      <c r="F30">
        <v>6924275</v>
      </c>
      <c r="G30">
        <v>19436</v>
      </c>
      <c r="H30">
        <v>77715</v>
      </c>
      <c r="I30">
        <v>80484</v>
      </c>
      <c r="J30">
        <v>79794</v>
      </c>
      <c r="K30">
        <v>79422</v>
      </c>
      <c r="L30">
        <v>19164</v>
      </c>
      <c r="M30">
        <v>77891</v>
      </c>
      <c r="N30">
        <v>79651</v>
      </c>
      <c r="O30">
        <v>72089</v>
      </c>
      <c r="P30">
        <v>70263</v>
      </c>
      <c r="Q30">
        <v>342</v>
      </c>
      <c r="R30">
        <v>6065</v>
      </c>
      <c r="S30">
        <v>25958</v>
      </c>
      <c r="T30">
        <v>25365</v>
      </c>
      <c r="U30">
        <v>30852</v>
      </c>
      <c r="V30">
        <v>1683</v>
      </c>
      <c r="W30">
        <v>16463</v>
      </c>
      <c r="X30">
        <v>4652</v>
      </c>
      <c r="Y30">
        <v>3173</v>
      </c>
      <c r="Z30">
        <v>4268</v>
      </c>
    </row>
    <row r="31" spans="1:26">
      <c r="A31" t="s">
        <v>35</v>
      </c>
      <c r="B31">
        <v>3191141</v>
      </c>
      <c r="C31">
        <v>3198613</v>
      </c>
      <c r="D31">
        <v>3202820</v>
      </c>
      <c r="E31">
        <v>3218414</v>
      </c>
      <c r="F31">
        <v>3241488</v>
      </c>
      <c r="G31">
        <v>9104</v>
      </c>
      <c r="H31">
        <v>35887</v>
      </c>
      <c r="I31">
        <v>36825</v>
      </c>
      <c r="J31">
        <v>36475</v>
      </c>
      <c r="K31">
        <v>36301</v>
      </c>
      <c r="L31">
        <v>8028</v>
      </c>
      <c r="M31">
        <v>35432</v>
      </c>
      <c r="N31">
        <v>35586</v>
      </c>
      <c r="O31">
        <v>32979</v>
      </c>
      <c r="P31">
        <v>32472</v>
      </c>
      <c r="Q31">
        <v>199</v>
      </c>
      <c r="R31">
        <v>3701</v>
      </c>
      <c r="S31">
        <v>10340</v>
      </c>
      <c r="T31">
        <v>16114</v>
      </c>
      <c r="U31">
        <v>19439</v>
      </c>
      <c r="V31">
        <v>-1231</v>
      </c>
      <c r="W31">
        <v>1944</v>
      </c>
      <c r="X31">
        <v>-6290</v>
      </c>
      <c r="Y31">
        <v>-3674</v>
      </c>
      <c r="Z31">
        <v>-231</v>
      </c>
    </row>
    <row r="32" spans="1:26">
      <c r="A32" t="s">
        <v>37</v>
      </c>
      <c r="B32">
        <v>2938172</v>
      </c>
      <c r="C32">
        <v>2938338</v>
      </c>
      <c r="D32">
        <v>2937324</v>
      </c>
      <c r="E32">
        <v>2951500</v>
      </c>
      <c r="F32">
        <v>2970606</v>
      </c>
      <c r="G32">
        <v>8510</v>
      </c>
      <c r="H32">
        <v>34168</v>
      </c>
      <c r="I32">
        <v>34399</v>
      </c>
      <c r="J32">
        <v>34698</v>
      </c>
      <c r="K32">
        <v>33963</v>
      </c>
      <c r="L32">
        <v>6966</v>
      </c>
      <c r="M32">
        <v>32753</v>
      </c>
      <c r="N32">
        <v>33207</v>
      </c>
      <c r="O32">
        <v>30190</v>
      </c>
      <c r="P32">
        <v>28731</v>
      </c>
      <c r="Q32">
        <v>134</v>
      </c>
      <c r="R32">
        <v>2072</v>
      </c>
      <c r="S32">
        <v>6062</v>
      </c>
      <c r="T32">
        <v>15340</v>
      </c>
      <c r="U32">
        <v>18530</v>
      </c>
      <c r="V32">
        <v>-1882</v>
      </c>
      <c r="W32">
        <v>-4854</v>
      </c>
      <c r="X32">
        <v>-7128</v>
      </c>
      <c r="Y32">
        <v>-5358</v>
      </c>
      <c r="Z32">
        <v>-4701</v>
      </c>
    </row>
    <row r="33" spans="1:26">
      <c r="A33" t="s">
        <v>39</v>
      </c>
      <c r="B33">
        <v>4508318</v>
      </c>
      <c r="C33">
        <v>4507583</v>
      </c>
      <c r="D33">
        <v>4519233</v>
      </c>
      <c r="E33">
        <v>4550595</v>
      </c>
      <c r="F33">
        <v>4588372</v>
      </c>
      <c r="G33">
        <v>12579</v>
      </c>
      <c r="H33">
        <v>51363</v>
      </c>
      <c r="I33">
        <v>52300</v>
      </c>
      <c r="J33">
        <v>52506</v>
      </c>
      <c r="K33">
        <v>52248</v>
      </c>
      <c r="L33">
        <v>12784</v>
      </c>
      <c r="M33">
        <v>58350</v>
      </c>
      <c r="N33">
        <v>61278</v>
      </c>
      <c r="O33">
        <v>54405</v>
      </c>
      <c r="P33">
        <v>53140</v>
      </c>
      <c r="Q33">
        <v>119</v>
      </c>
      <c r="R33">
        <v>1755</v>
      </c>
      <c r="S33">
        <v>11149</v>
      </c>
      <c r="T33">
        <v>26161</v>
      </c>
      <c r="U33">
        <v>31430</v>
      </c>
      <c r="V33">
        <v>1047</v>
      </c>
      <c r="W33">
        <v>2704</v>
      </c>
      <c r="X33">
        <v>10439</v>
      </c>
      <c r="Y33">
        <v>7297</v>
      </c>
      <c r="Z33">
        <v>7294</v>
      </c>
    </row>
    <row r="34" spans="1:26">
      <c r="A34" t="s">
        <v>41</v>
      </c>
      <c r="B34">
        <v>4652301</v>
      </c>
      <c r="C34">
        <v>4627971</v>
      </c>
      <c r="D34">
        <v>4593687</v>
      </c>
      <c r="E34">
        <v>4588071</v>
      </c>
      <c r="F34">
        <v>4597740</v>
      </c>
      <c r="G34">
        <v>13555</v>
      </c>
      <c r="H34">
        <v>57028</v>
      </c>
      <c r="I34">
        <v>56482</v>
      </c>
      <c r="J34">
        <v>56594</v>
      </c>
      <c r="K34">
        <v>53787</v>
      </c>
      <c r="L34">
        <v>14800</v>
      </c>
      <c r="M34">
        <v>56843</v>
      </c>
      <c r="N34">
        <v>56802</v>
      </c>
      <c r="O34">
        <v>50209</v>
      </c>
      <c r="P34">
        <v>49828</v>
      </c>
      <c r="Q34">
        <v>193</v>
      </c>
      <c r="R34">
        <v>3186</v>
      </c>
      <c r="S34">
        <v>13341</v>
      </c>
      <c r="T34">
        <v>19250</v>
      </c>
      <c r="U34">
        <v>23142</v>
      </c>
      <c r="V34">
        <v>-5044</v>
      </c>
      <c r="W34">
        <v>-27819</v>
      </c>
      <c r="X34">
        <v>-47984</v>
      </c>
      <c r="Y34">
        <v>-31236</v>
      </c>
      <c r="Z34">
        <v>-17405</v>
      </c>
    </row>
    <row r="35" spans="1:26">
      <c r="A35" t="s">
        <v>43</v>
      </c>
      <c r="B35">
        <v>1364571</v>
      </c>
      <c r="C35">
        <v>1378931</v>
      </c>
      <c r="D35">
        <v>1390922</v>
      </c>
      <c r="E35">
        <v>1399646</v>
      </c>
      <c r="F35">
        <v>1405012</v>
      </c>
      <c r="G35">
        <v>2997</v>
      </c>
      <c r="H35">
        <v>11590</v>
      </c>
      <c r="I35">
        <v>12059</v>
      </c>
      <c r="J35">
        <v>11919</v>
      </c>
      <c r="K35">
        <v>11609</v>
      </c>
      <c r="L35">
        <v>3714</v>
      </c>
      <c r="M35">
        <v>16131</v>
      </c>
      <c r="N35">
        <v>17966</v>
      </c>
      <c r="O35">
        <v>17061</v>
      </c>
      <c r="P35">
        <v>16766</v>
      </c>
      <c r="Q35">
        <v>60</v>
      </c>
      <c r="R35">
        <v>1012</v>
      </c>
      <c r="S35">
        <v>3255</v>
      </c>
      <c r="T35">
        <v>4277</v>
      </c>
      <c r="U35">
        <v>5196</v>
      </c>
      <c r="V35">
        <v>1810</v>
      </c>
      <c r="W35">
        <v>18016</v>
      </c>
      <c r="X35">
        <v>14379</v>
      </c>
      <c r="Y35">
        <v>9598</v>
      </c>
      <c r="Z35">
        <v>5329</v>
      </c>
    </row>
    <row r="36" spans="1:26">
      <c r="A36" t="s">
        <v>45</v>
      </c>
      <c r="B36">
        <v>6177935</v>
      </c>
      <c r="C36">
        <v>6179403</v>
      </c>
      <c r="D36">
        <v>6192440</v>
      </c>
      <c r="E36">
        <v>6217062</v>
      </c>
      <c r="F36">
        <v>6263220</v>
      </c>
      <c r="G36">
        <v>17156</v>
      </c>
      <c r="H36">
        <v>67431</v>
      </c>
      <c r="I36">
        <v>69084</v>
      </c>
      <c r="J36">
        <v>67587</v>
      </c>
      <c r="K36">
        <v>65609</v>
      </c>
      <c r="L36">
        <v>16945</v>
      </c>
      <c r="M36">
        <v>59001</v>
      </c>
      <c r="N36">
        <v>57638</v>
      </c>
      <c r="O36">
        <v>53835</v>
      </c>
      <c r="P36">
        <v>54005</v>
      </c>
      <c r="Q36">
        <v>505</v>
      </c>
      <c r="R36">
        <v>9038</v>
      </c>
      <c r="S36">
        <v>47782</v>
      </c>
      <c r="T36">
        <v>43758</v>
      </c>
      <c r="U36">
        <v>53100</v>
      </c>
      <c r="V36">
        <v>-5487</v>
      </c>
      <c r="W36">
        <v>-17763</v>
      </c>
      <c r="X36">
        <v>-45928</v>
      </c>
      <c r="Y36">
        <v>-32748</v>
      </c>
      <c r="Z36">
        <v>-18509</v>
      </c>
    </row>
    <row r="37" spans="1:26">
      <c r="A37" t="s">
        <v>47</v>
      </c>
      <c r="B37">
        <v>6994598</v>
      </c>
      <c r="C37">
        <v>7000474</v>
      </c>
      <c r="D37">
        <v>7022468</v>
      </c>
      <c r="E37">
        <v>7066568</v>
      </c>
      <c r="F37">
        <v>7136171</v>
      </c>
      <c r="G37">
        <v>17113</v>
      </c>
      <c r="H37">
        <v>66440</v>
      </c>
      <c r="I37">
        <v>68959</v>
      </c>
      <c r="J37">
        <v>68144</v>
      </c>
      <c r="K37">
        <v>67851</v>
      </c>
      <c r="L37">
        <v>22112</v>
      </c>
      <c r="M37">
        <v>61657</v>
      </c>
      <c r="N37">
        <v>63764</v>
      </c>
      <c r="O37">
        <v>61574</v>
      </c>
      <c r="P37">
        <v>61133</v>
      </c>
      <c r="Q37">
        <v>908</v>
      </c>
      <c r="R37">
        <v>16475</v>
      </c>
      <c r="S37">
        <v>72892</v>
      </c>
      <c r="T37">
        <v>74610</v>
      </c>
      <c r="U37">
        <v>90217</v>
      </c>
      <c r="V37">
        <v>-29143</v>
      </c>
      <c r="W37">
        <v>-14713</v>
      </c>
      <c r="X37">
        <v>-54843</v>
      </c>
      <c r="Y37">
        <v>-36572</v>
      </c>
      <c r="Z37">
        <v>-27480</v>
      </c>
    </row>
    <row r="38" spans="1:26">
      <c r="A38" t="s">
        <v>49</v>
      </c>
      <c r="B38">
        <v>10072703</v>
      </c>
      <c r="C38">
        <v>10041351</v>
      </c>
      <c r="D38">
        <v>10050877</v>
      </c>
      <c r="E38">
        <v>10083356</v>
      </c>
      <c r="F38">
        <v>10140459</v>
      </c>
      <c r="G38">
        <v>26588</v>
      </c>
      <c r="H38">
        <v>102780</v>
      </c>
      <c r="I38">
        <v>104459</v>
      </c>
      <c r="J38">
        <v>100976</v>
      </c>
      <c r="K38">
        <v>99589</v>
      </c>
      <c r="L38">
        <v>31068</v>
      </c>
      <c r="M38">
        <v>115239</v>
      </c>
      <c r="N38">
        <v>117941</v>
      </c>
      <c r="O38">
        <v>106040</v>
      </c>
      <c r="P38">
        <v>102444</v>
      </c>
      <c r="Q38">
        <v>409</v>
      </c>
      <c r="R38">
        <v>7044</v>
      </c>
      <c r="S38">
        <v>33541</v>
      </c>
      <c r="T38">
        <v>55863</v>
      </c>
      <c r="U38">
        <v>67608</v>
      </c>
      <c r="V38">
        <v>-4721</v>
      </c>
      <c r="W38">
        <v>-29240</v>
      </c>
      <c r="X38">
        <v>-8722</v>
      </c>
      <c r="Y38">
        <v>-17446</v>
      </c>
      <c r="Z38">
        <v>-7656</v>
      </c>
    </row>
    <row r="39" spans="1:26">
      <c r="A39" t="s">
        <v>51</v>
      </c>
      <c r="B39">
        <v>5710735</v>
      </c>
      <c r="C39">
        <v>5718660</v>
      </c>
      <c r="D39">
        <v>5721621</v>
      </c>
      <c r="E39">
        <v>5753048</v>
      </c>
      <c r="F39">
        <v>5793151</v>
      </c>
      <c r="G39">
        <v>16460</v>
      </c>
      <c r="H39">
        <v>63012</v>
      </c>
      <c r="I39">
        <v>64651</v>
      </c>
      <c r="J39">
        <v>63128</v>
      </c>
      <c r="K39">
        <v>61438</v>
      </c>
      <c r="L39">
        <v>12738</v>
      </c>
      <c r="M39">
        <v>51412</v>
      </c>
      <c r="N39">
        <v>53371</v>
      </c>
      <c r="O39">
        <v>49940</v>
      </c>
      <c r="P39">
        <v>49658</v>
      </c>
      <c r="Q39">
        <v>295</v>
      </c>
      <c r="R39">
        <v>5523</v>
      </c>
      <c r="S39">
        <v>21405</v>
      </c>
      <c r="T39">
        <v>24328</v>
      </c>
      <c r="U39">
        <v>29540</v>
      </c>
      <c r="V39">
        <v>-1414</v>
      </c>
      <c r="W39">
        <v>-10549</v>
      </c>
      <c r="X39">
        <v>-29472</v>
      </c>
      <c r="Y39">
        <v>-5334</v>
      </c>
      <c r="Z39">
        <v>-1161</v>
      </c>
    </row>
    <row r="40" spans="1:26">
      <c r="A40" t="s">
        <v>53</v>
      </c>
      <c r="B40">
        <v>2958536</v>
      </c>
      <c r="C40">
        <v>2947209</v>
      </c>
      <c r="D40">
        <v>2941939</v>
      </c>
      <c r="E40">
        <v>2943172</v>
      </c>
      <c r="F40">
        <v>2943045</v>
      </c>
      <c r="G40">
        <v>8503</v>
      </c>
      <c r="H40">
        <v>35004</v>
      </c>
      <c r="I40">
        <v>34925</v>
      </c>
      <c r="J40">
        <v>35064</v>
      </c>
      <c r="K40">
        <v>33859</v>
      </c>
      <c r="L40">
        <v>9649</v>
      </c>
      <c r="M40">
        <v>41641</v>
      </c>
      <c r="N40">
        <v>40616</v>
      </c>
      <c r="O40">
        <v>35781</v>
      </c>
      <c r="P40">
        <v>35843</v>
      </c>
      <c r="Q40">
        <v>58</v>
      </c>
      <c r="R40">
        <v>632</v>
      </c>
      <c r="S40">
        <v>6869</v>
      </c>
      <c r="T40">
        <v>5620</v>
      </c>
      <c r="U40">
        <v>6789</v>
      </c>
      <c r="V40">
        <v>-2054</v>
      </c>
      <c r="W40">
        <v>-5802</v>
      </c>
      <c r="X40">
        <v>-5877</v>
      </c>
      <c r="Y40">
        <v>-3481</v>
      </c>
      <c r="Z40">
        <v>-4939</v>
      </c>
    </row>
    <row r="41" spans="1:26">
      <c r="A41" t="s">
        <v>55</v>
      </c>
      <c r="B41">
        <v>6154744</v>
      </c>
      <c r="C41">
        <v>6171374</v>
      </c>
      <c r="D41">
        <v>6179414</v>
      </c>
      <c r="E41">
        <v>6208038</v>
      </c>
      <c r="F41">
        <v>6245466</v>
      </c>
      <c r="G41">
        <v>17239</v>
      </c>
      <c r="H41">
        <v>68821</v>
      </c>
      <c r="I41">
        <v>68942</v>
      </c>
      <c r="J41">
        <v>68424</v>
      </c>
      <c r="K41">
        <v>67589</v>
      </c>
      <c r="L41">
        <v>16737</v>
      </c>
      <c r="M41">
        <v>75335</v>
      </c>
      <c r="N41">
        <v>75622</v>
      </c>
      <c r="O41">
        <v>68514</v>
      </c>
      <c r="P41">
        <v>66068</v>
      </c>
      <c r="Q41">
        <v>270</v>
      </c>
      <c r="R41">
        <v>3856</v>
      </c>
      <c r="S41">
        <v>11763</v>
      </c>
      <c r="T41">
        <v>19460</v>
      </c>
      <c r="U41">
        <v>23569</v>
      </c>
      <c r="V41">
        <v>-1059</v>
      </c>
      <c r="W41">
        <v>17206</v>
      </c>
      <c r="X41">
        <v>4160</v>
      </c>
      <c r="Y41">
        <v>9638</v>
      </c>
      <c r="Z41">
        <v>12289</v>
      </c>
    </row>
    <row r="42" spans="1:26">
      <c r="A42" t="s">
        <v>57</v>
      </c>
      <c r="B42">
        <v>1087230</v>
      </c>
      <c r="C42">
        <v>1106522</v>
      </c>
      <c r="D42">
        <v>1122095</v>
      </c>
      <c r="E42">
        <v>1131302</v>
      </c>
      <c r="F42">
        <v>1137233</v>
      </c>
      <c r="G42">
        <v>2812</v>
      </c>
      <c r="H42">
        <v>10841</v>
      </c>
      <c r="I42">
        <v>11182</v>
      </c>
      <c r="J42">
        <v>11024</v>
      </c>
      <c r="K42">
        <v>11268</v>
      </c>
      <c r="L42">
        <v>2516</v>
      </c>
      <c r="M42">
        <v>12141</v>
      </c>
      <c r="N42">
        <v>12886</v>
      </c>
      <c r="O42">
        <v>11392</v>
      </c>
      <c r="P42">
        <v>11256</v>
      </c>
      <c r="Q42">
        <v>43</v>
      </c>
      <c r="R42">
        <v>713</v>
      </c>
      <c r="S42">
        <v>989</v>
      </c>
      <c r="T42">
        <v>371</v>
      </c>
      <c r="U42">
        <v>506</v>
      </c>
      <c r="V42">
        <v>2776</v>
      </c>
      <c r="W42">
        <v>20539</v>
      </c>
      <c r="X42">
        <v>15661</v>
      </c>
      <c r="Y42">
        <v>9110</v>
      </c>
      <c r="Z42">
        <v>5410</v>
      </c>
    </row>
    <row r="43" spans="1:26">
      <c r="A43" t="s">
        <v>59</v>
      </c>
      <c r="B43">
        <v>1963387</v>
      </c>
      <c r="C43">
        <v>1964537</v>
      </c>
      <c r="D43">
        <v>1972246</v>
      </c>
      <c r="E43">
        <v>1987864</v>
      </c>
      <c r="F43">
        <v>2005465</v>
      </c>
      <c r="G43">
        <v>6046</v>
      </c>
      <c r="H43">
        <v>24411</v>
      </c>
      <c r="I43">
        <v>24248</v>
      </c>
      <c r="J43">
        <v>24611</v>
      </c>
      <c r="K43">
        <v>24443</v>
      </c>
      <c r="L43">
        <v>4450</v>
      </c>
      <c r="M43">
        <v>19527</v>
      </c>
      <c r="N43">
        <v>19385</v>
      </c>
      <c r="O43">
        <v>18408</v>
      </c>
      <c r="P43">
        <v>18308</v>
      </c>
      <c r="Q43">
        <v>95</v>
      </c>
      <c r="R43">
        <v>1581</v>
      </c>
      <c r="S43">
        <v>7933</v>
      </c>
      <c r="T43">
        <v>10744</v>
      </c>
      <c r="U43">
        <v>12978</v>
      </c>
      <c r="V43">
        <v>-762</v>
      </c>
      <c r="W43">
        <v>-5984</v>
      </c>
      <c r="X43">
        <v>-4437</v>
      </c>
      <c r="Y43">
        <v>-1077</v>
      </c>
      <c r="Z43">
        <v>-1498</v>
      </c>
    </row>
    <row r="44" spans="1:26">
      <c r="A44" t="s">
        <v>61</v>
      </c>
      <c r="B44">
        <v>3116967</v>
      </c>
      <c r="C44">
        <v>3148141</v>
      </c>
      <c r="D44">
        <v>3176116</v>
      </c>
      <c r="E44">
        <v>3214363</v>
      </c>
      <c r="F44">
        <v>3267467</v>
      </c>
      <c r="G44">
        <v>8168</v>
      </c>
      <c r="H44">
        <v>33362</v>
      </c>
      <c r="I44">
        <v>33533</v>
      </c>
      <c r="J44">
        <v>32797</v>
      </c>
      <c r="K44">
        <v>31951</v>
      </c>
      <c r="L44">
        <v>7007</v>
      </c>
      <c r="M44">
        <v>32376</v>
      </c>
      <c r="N44">
        <v>33468</v>
      </c>
      <c r="O44">
        <v>29391</v>
      </c>
      <c r="P44">
        <v>28893</v>
      </c>
      <c r="Q44">
        <v>137</v>
      </c>
      <c r="R44">
        <v>3612</v>
      </c>
      <c r="S44">
        <v>7725</v>
      </c>
      <c r="T44">
        <v>27009</v>
      </c>
      <c r="U44">
        <v>33005</v>
      </c>
      <c r="V44">
        <v>10423</v>
      </c>
      <c r="W44">
        <v>25674</v>
      </c>
      <c r="X44">
        <v>20262</v>
      </c>
      <c r="Y44">
        <v>8174</v>
      </c>
      <c r="Z44">
        <v>16853</v>
      </c>
    </row>
    <row r="45" spans="1:26">
      <c r="A45" t="s">
        <v>63</v>
      </c>
      <c r="B45">
        <v>1378756</v>
      </c>
      <c r="C45">
        <v>1387677</v>
      </c>
      <c r="D45">
        <v>1396678</v>
      </c>
      <c r="E45">
        <v>1402199</v>
      </c>
      <c r="F45">
        <v>1409032</v>
      </c>
      <c r="G45">
        <v>2994</v>
      </c>
      <c r="H45">
        <v>12044</v>
      </c>
      <c r="I45">
        <v>12283</v>
      </c>
      <c r="J45">
        <v>12093</v>
      </c>
      <c r="K45">
        <v>11777</v>
      </c>
      <c r="L45">
        <v>3502</v>
      </c>
      <c r="M45">
        <v>13728</v>
      </c>
      <c r="N45">
        <v>14714</v>
      </c>
      <c r="O45">
        <v>14322</v>
      </c>
      <c r="P45">
        <v>14140</v>
      </c>
      <c r="Q45">
        <v>88</v>
      </c>
      <c r="R45">
        <v>1542</v>
      </c>
      <c r="S45">
        <v>1538</v>
      </c>
      <c r="T45">
        <v>3480</v>
      </c>
      <c r="U45">
        <v>4290</v>
      </c>
      <c r="V45">
        <v>1272</v>
      </c>
      <c r="W45">
        <v>8528</v>
      </c>
      <c r="X45">
        <v>10011</v>
      </c>
      <c r="Y45">
        <v>4470</v>
      </c>
      <c r="Z45">
        <v>4889</v>
      </c>
    </row>
    <row r="46" spans="1:26">
      <c r="A46" t="s">
        <v>65</v>
      </c>
      <c r="B46">
        <v>9272794</v>
      </c>
      <c r="C46">
        <v>9270541</v>
      </c>
      <c r="D46">
        <v>9295227</v>
      </c>
      <c r="E46">
        <v>9379642</v>
      </c>
      <c r="F46">
        <v>9500851</v>
      </c>
      <c r="G46">
        <v>24722</v>
      </c>
      <c r="H46">
        <v>98005</v>
      </c>
      <c r="I46">
        <v>102676</v>
      </c>
      <c r="J46">
        <v>102459</v>
      </c>
      <c r="K46">
        <v>101199</v>
      </c>
      <c r="L46">
        <v>33991</v>
      </c>
      <c r="M46">
        <v>84007</v>
      </c>
      <c r="N46">
        <v>82754</v>
      </c>
      <c r="O46">
        <v>77131</v>
      </c>
      <c r="P46">
        <v>75189</v>
      </c>
      <c r="Q46">
        <v>901</v>
      </c>
      <c r="R46">
        <v>14743</v>
      </c>
      <c r="S46">
        <v>72909</v>
      </c>
      <c r="T46">
        <v>107943</v>
      </c>
      <c r="U46">
        <v>130692</v>
      </c>
      <c r="V46">
        <v>-9110</v>
      </c>
      <c r="W46">
        <v>-32628</v>
      </c>
      <c r="X46">
        <v>-66769</v>
      </c>
      <c r="Y46">
        <v>-48148</v>
      </c>
      <c r="Z46">
        <v>-35554</v>
      </c>
    </row>
    <row r="47" spans="1:26">
      <c r="A47" t="s">
        <v>67</v>
      </c>
      <c r="B47">
        <v>2118606</v>
      </c>
      <c r="C47">
        <v>2117333</v>
      </c>
      <c r="D47">
        <v>2113868</v>
      </c>
      <c r="E47">
        <v>2121164</v>
      </c>
      <c r="F47">
        <v>2130256</v>
      </c>
      <c r="G47">
        <v>5327</v>
      </c>
      <c r="H47">
        <v>21433</v>
      </c>
      <c r="I47">
        <v>21441</v>
      </c>
      <c r="J47">
        <v>21571</v>
      </c>
      <c r="K47">
        <v>20833</v>
      </c>
      <c r="L47">
        <v>5510</v>
      </c>
      <c r="M47">
        <v>24657</v>
      </c>
      <c r="N47">
        <v>25427</v>
      </c>
      <c r="O47">
        <v>22436</v>
      </c>
      <c r="P47">
        <v>22270</v>
      </c>
      <c r="Q47">
        <v>155</v>
      </c>
      <c r="R47">
        <v>2261</v>
      </c>
      <c r="S47">
        <v>5702</v>
      </c>
      <c r="T47">
        <v>9904</v>
      </c>
      <c r="U47">
        <v>12103</v>
      </c>
      <c r="V47">
        <v>729</v>
      </c>
      <c r="W47">
        <v>-1039</v>
      </c>
      <c r="X47">
        <v>-4616</v>
      </c>
      <c r="Y47">
        <v>-1487</v>
      </c>
      <c r="Z47">
        <v>-1571</v>
      </c>
    </row>
    <row r="48" spans="1:26">
      <c r="A48" t="s">
        <v>69</v>
      </c>
      <c r="B48">
        <v>20105171</v>
      </c>
      <c r="C48">
        <v>19848276</v>
      </c>
      <c r="D48">
        <v>19703747</v>
      </c>
      <c r="E48">
        <v>19737367</v>
      </c>
      <c r="F48">
        <v>19867248</v>
      </c>
      <c r="G48">
        <v>53056</v>
      </c>
      <c r="H48">
        <v>205414</v>
      </c>
      <c r="I48">
        <v>209913</v>
      </c>
      <c r="J48">
        <v>205888</v>
      </c>
      <c r="K48">
        <v>205289</v>
      </c>
      <c r="L48">
        <v>72834</v>
      </c>
      <c r="M48">
        <v>177162</v>
      </c>
      <c r="N48">
        <v>176582</v>
      </c>
      <c r="O48">
        <v>166424</v>
      </c>
      <c r="P48">
        <v>161588</v>
      </c>
      <c r="Q48">
        <v>1339</v>
      </c>
      <c r="R48">
        <v>28775</v>
      </c>
      <c r="S48">
        <v>111670</v>
      </c>
      <c r="T48">
        <v>170450</v>
      </c>
      <c r="U48">
        <v>207161</v>
      </c>
      <c r="V48">
        <v>-72672</v>
      </c>
      <c r="W48">
        <v>-300058</v>
      </c>
      <c r="X48">
        <v>-295669</v>
      </c>
      <c r="Y48">
        <v>-176893</v>
      </c>
      <c r="Z48">
        <v>-120917</v>
      </c>
    </row>
    <row r="49" spans="1:26">
      <c r="A49" t="s">
        <v>71</v>
      </c>
      <c r="B49">
        <v>10449652</v>
      </c>
      <c r="C49">
        <v>10564320</v>
      </c>
      <c r="D49">
        <v>10710793</v>
      </c>
      <c r="E49">
        <v>10881189</v>
      </c>
      <c r="F49">
        <v>11046024</v>
      </c>
      <c r="G49">
        <v>28675</v>
      </c>
      <c r="H49">
        <v>116747</v>
      </c>
      <c r="I49">
        <v>121588</v>
      </c>
      <c r="J49">
        <v>121223</v>
      </c>
      <c r="K49">
        <v>121281</v>
      </c>
      <c r="L49">
        <v>25880</v>
      </c>
      <c r="M49">
        <v>115533</v>
      </c>
      <c r="N49">
        <v>118218</v>
      </c>
      <c r="O49">
        <v>108857</v>
      </c>
      <c r="P49">
        <v>108649</v>
      </c>
      <c r="Q49">
        <v>683</v>
      </c>
      <c r="R49">
        <v>9924</v>
      </c>
      <c r="S49">
        <v>43024</v>
      </c>
      <c r="T49">
        <v>57839</v>
      </c>
      <c r="U49">
        <v>69792</v>
      </c>
      <c r="V49">
        <v>8159</v>
      </c>
      <c r="W49">
        <v>103202</v>
      </c>
      <c r="X49">
        <v>99380</v>
      </c>
      <c r="Y49">
        <v>98981</v>
      </c>
      <c r="Z49">
        <v>82288</v>
      </c>
    </row>
    <row r="50" spans="1:26">
      <c r="A50" t="s">
        <v>73</v>
      </c>
      <c r="B50">
        <v>779563</v>
      </c>
      <c r="C50">
        <v>777966</v>
      </c>
      <c r="D50">
        <v>781057</v>
      </c>
      <c r="E50">
        <v>789047</v>
      </c>
      <c r="F50">
        <v>796568</v>
      </c>
      <c r="G50">
        <v>2563</v>
      </c>
      <c r="H50">
        <v>10021</v>
      </c>
      <c r="I50">
        <v>9800</v>
      </c>
      <c r="J50">
        <v>9721</v>
      </c>
      <c r="K50">
        <v>9592</v>
      </c>
      <c r="L50">
        <v>1745</v>
      </c>
      <c r="M50">
        <v>7758</v>
      </c>
      <c r="N50">
        <v>7334</v>
      </c>
      <c r="O50">
        <v>6907</v>
      </c>
      <c r="P50">
        <v>6867</v>
      </c>
      <c r="Q50">
        <v>30</v>
      </c>
      <c r="R50">
        <v>453</v>
      </c>
      <c r="S50">
        <v>3287</v>
      </c>
      <c r="T50">
        <v>4269</v>
      </c>
      <c r="U50">
        <v>5126</v>
      </c>
      <c r="V50">
        <v>-438</v>
      </c>
      <c r="W50">
        <v>-3966</v>
      </c>
      <c r="X50">
        <v>-2667</v>
      </c>
      <c r="Y50">
        <v>912</v>
      </c>
      <c r="Z50">
        <v>-291</v>
      </c>
    </row>
    <row r="51" spans="1:26">
      <c r="A51" t="s">
        <v>75</v>
      </c>
      <c r="B51">
        <v>11798905</v>
      </c>
      <c r="C51">
        <v>11767344</v>
      </c>
      <c r="D51">
        <v>11777874</v>
      </c>
      <c r="E51">
        <v>11824034</v>
      </c>
      <c r="F51">
        <v>11883304</v>
      </c>
      <c r="G51">
        <v>32340</v>
      </c>
      <c r="H51">
        <v>128271</v>
      </c>
      <c r="I51">
        <v>128860</v>
      </c>
      <c r="J51">
        <v>128794</v>
      </c>
      <c r="K51">
        <v>126575</v>
      </c>
      <c r="L51">
        <v>33751</v>
      </c>
      <c r="M51">
        <v>146873</v>
      </c>
      <c r="N51">
        <v>149198</v>
      </c>
      <c r="O51">
        <v>131659</v>
      </c>
      <c r="P51">
        <v>127000</v>
      </c>
      <c r="Q51">
        <v>517</v>
      </c>
      <c r="R51">
        <v>9278</v>
      </c>
      <c r="S51">
        <v>40470</v>
      </c>
      <c r="T51">
        <v>51631</v>
      </c>
      <c r="U51">
        <v>62378</v>
      </c>
      <c r="V51">
        <v>-2752</v>
      </c>
      <c r="W51">
        <v>-26839</v>
      </c>
      <c r="X51">
        <v>-4998</v>
      </c>
      <c r="Y51">
        <v>-967</v>
      </c>
      <c r="Z51">
        <v>-2462</v>
      </c>
    </row>
    <row r="52" spans="1:26">
      <c r="A52" t="s">
        <v>77</v>
      </c>
      <c r="B52">
        <v>3965415</v>
      </c>
      <c r="C52">
        <v>3992238</v>
      </c>
      <c r="D52">
        <v>4026229</v>
      </c>
      <c r="E52">
        <v>4063882</v>
      </c>
      <c r="F52">
        <v>4095393</v>
      </c>
      <c r="G52">
        <v>11579</v>
      </c>
      <c r="H52">
        <v>47473</v>
      </c>
      <c r="I52">
        <v>48249</v>
      </c>
      <c r="J52">
        <v>48693</v>
      </c>
      <c r="K52">
        <v>47642</v>
      </c>
      <c r="L52">
        <v>10346</v>
      </c>
      <c r="M52">
        <v>50810</v>
      </c>
      <c r="N52">
        <v>51638</v>
      </c>
      <c r="O52">
        <v>45300</v>
      </c>
      <c r="P52">
        <v>44506</v>
      </c>
      <c r="Q52">
        <v>176</v>
      </c>
      <c r="R52">
        <v>2181</v>
      </c>
      <c r="S52">
        <v>12261</v>
      </c>
      <c r="T52">
        <v>11835</v>
      </c>
      <c r="U52">
        <v>14358</v>
      </c>
      <c r="V52">
        <v>3911</v>
      </c>
      <c r="W52">
        <v>26585</v>
      </c>
      <c r="X52">
        <v>26026</v>
      </c>
      <c r="Y52">
        <v>22660</v>
      </c>
      <c r="Z52">
        <v>14036</v>
      </c>
    </row>
    <row r="53" spans="1:26">
      <c r="A53" t="s">
        <v>79</v>
      </c>
      <c r="B53">
        <v>4243779</v>
      </c>
      <c r="C53">
        <v>4254280</v>
      </c>
      <c r="D53">
        <v>4247372</v>
      </c>
      <c r="E53">
        <v>4253653</v>
      </c>
      <c r="F53">
        <v>4272371</v>
      </c>
      <c r="G53">
        <v>10281</v>
      </c>
      <c r="H53">
        <v>39659</v>
      </c>
      <c r="I53">
        <v>40450</v>
      </c>
      <c r="J53">
        <v>38835</v>
      </c>
      <c r="K53">
        <v>38788</v>
      </c>
      <c r="L53">
        <v>9566</v>
      </c>
      <c r="M53">
        <v>41952</v>
      </c>
      <c r="N53">
        <v>46451</v>
      </c>
      <c r="O53">
        <v>43502</v>
      </c>
      <c r="P53">
        <v>42519</v>
      </c>
      <c r="Q53">
        <v>177</v>
      </c>
      <c r="R53">
        <v>2609</v>
      </c>
      <c r="S53">
        <v>7458</v>
      </c>
      <c r="T53">
        <v>19246</v>
      </c>
      <c r="U53">
        <v>23590</v>
      </c>
      <c r="V53">
        <v>5732</v>
      </c>
      <c r="W53">
        <v>9304</v>
      </c>
      <c r="X53">
        <v>-7730</v>
      </c>
      <c r="Y53">
        <v>-8014</v>
      </c>
      <c r="Z53">
        <v>-1162</v>
      </c>
    </row>
    <row r="54" spans="1:26">
      <c r="A54" t="s">
        <v>81</v>
      </c>
      <c r="B54">
        <v>12996143</v>
      </c>
      <c r="C54">
        <v>13015571</v>
      </c>
      <c r="D54">
        <v>12984990</v>
      </c>
      <c r="E54">
        <v>13017721</v>
      </c>
      <c r="F54">
        <v>13078751</v>
      </c>
      <c r="G54">
        <v>32903</v>
      </c>
      <c r="H54">
        <v>130247</v>
      </c>
      <c r="I54">
        <v>131688</v>
      </c>
      <c r="J54">
        <v>129235</v>
      </c>
      <c r="K54">
        <v>127571</v>
      </c>
      <c r="L54">
        <v>40308</v>
      </c>
      <c r="M54">
        <v>155702</v>
      </c>
      <c r="N54">
        <v>155242</v>
      </c>
      <c r="O54">
        <v>141059</v>
      </c>
      <c r="P54">
        <v>136882</v>
      </c>
      <c r="Q54">
        <v>627</v>
      </c>
      <c r="R54">
        <v>10198</v>
      </c>
      <c r="S54">
        <v>37940</v>
      </c>
      <c r="T54">
        <v>68035</v>
      </c>
      <c r="U54">
        <v>82101</v>
      </c>
      <c r="V54">
        <v>-3580</v>
      </c>
      <c r="W54">
        <v>28184</v>
      </c>
      <c r="X54">
        <v>-40405</v>
      </c>
      <c r="Y54">
        <v>-21730</v>
      </c>
      <c r="Z54">
        <v>-11500</v>
      </c>
    </row>
    <row r="55" spans="1:26">
      <c r="A55" t="s">
        <v>83</v>
      </c>
      <c r="B55">
        <v>1096530</v>
      </c>
      <c r="C55">
        <v>1097246</v>
      </c>
      <c r="D55">
        <v>1099498</v>
      </c>
      <c r="E55">
        <v>1103429</v>
      </c>
      <c r="F55">
        <v>1112308</v>
      </c>
      <c r="G55">
        <v>2546</v>
      </c>
      <c r="H55">
        <v>10031</v>
      </c>
      <c r="I55">
        <v>10445</v>
      </c>
      <c r="J55">
        <v>10063</v>
      </c>
      <c r="K55">
        <v>9924</v>
      </c>
      <c r="L55">
        <v>3390</v>
      </c>
      <c r="M55">
        <v>11327</v>
      </c>
      <c r="N55">
        <v>11103</v>
      </c>
      <c r="O55">
        <v>10508</v>
      </c>
      <c r="P55">
        <v>10286</v>
      </c>
      <c r="Q55">
        <v>78</v>
      </c>
      <c r="R55">
        <v>1070</v>
      </c>
      <c r="S55">
        <v>8346</v>
      </c>
      <c r="T55">
        <v>7852</v>
      </c>
      <c r="U55">
        <v>9525</v>
      </c>
      <c r="V55">
        <v>-373</v>
      </c>
      <c r="W55">
        <v>356</v>
      </c>
      <c r="X55">
        <v>-5028</v>
      </c>
      <c r="Y55">
        <v>-3281</v>
      </c>
      <c r="Z55">
        <v>-305</v>
      </c>
    </row>
    <row r="56" spans="1:26">
      <c r="A56" t="s">
        <v>85</v>
      </c>
      <c r="B56">
        <v>5132249</v>
      </c>
      <c r="C56">
        <v>5194274</v>
      </c>
      <c r="D56">
        <v>5287935</v>
      </c>
      <c r="E56">
        <v>5387830</v>
      </c>
      <c r="F56">
        <v>5478831</v>
      </c>
      <c r="G56">
        <v>13492</v>
      </c>
      <c r="H56">
        <v>55815</v>
      </c>
      <c r="I56">
        <v>57613</v>
      </c>
      <c r="J56">
        <v>58152</v>
      </c>
      <c r="K56">
        <v>57999</v>
      </c>
      <c r="L56">
        <v>14075</v>
      </c>
      <c r="M56">
        <v>64948</v>
      </c>
      <c r="N56">
        <v>64615</v>
      </c>
      <c r="O56">
        <v>58965</v>
      </c>
      <c r="P56">
        <v>58516</v>
      </c>
      <c r="Q56">
        <v>340</v>
      </c>
      <c r="R56">
        <v>4027</v>
      </c>
      <c r="S56">
        <v>13865</v>
      </c>
      <c r="T56">
        <v>19225</v>
      </c>
      <c r="U56">
        <v>23234</v>
      </c>
      <c r="V56">
        <v>14991</v>
      </c>
      <c r="W56">
        <v>67887</v>
      </c>
      <c r="X56">
        <v>83940</v>
      </c>
      <c r="Y56">
        <v>80092</v>
      </c>
      <c r="Z56">
        <v>68043</v>
      </c>
    </row>
    <row r="57" spans="1:26">
      <c r="A57" t="s">
        <v>87</v>
      </c>
      <c r="B57">
        <v>887948</v>
      </c>
      <c r="C57">
        <v>896492</v>
      </c>
      <c r="D57">
        <v>909723</v>
      </c>
      <c r="E57">
        <v>918305</v>
      </c>
      <c r="F57">
        <v>924669</v>
      </c>
      <c r="G57">
        <v>2832</v>
      </c>
      <c r="H57">
        <v>11064</v>
      </c>
      <c r="I57">
        <v>11254</v>
      </c>
      <c r="J57">
        <v>11171</v>
      </c>
      <c r="K57">
        <v>11311</v>
      </c>
      <c r="L57">
        <v>2021</v>
      </c>
      <c r="M57">
        <v>9769</v>
      </c>
      <c r="N57">
        <v>9207</v>
      </c>
      <c r="O57">
        <v>8525</v>
      </c>
      <c r="P57">
        <v>8723</v>
      </c>
      <c r="Q57">
        <v>64</v>
      </c>
      <c r="R57">
        <v>1101</v>
      </c>
      <c r="S57">
        <v>2570</v>
      </c>
      <c r="T57">
        <v>1314</v>
      </c>
      <c r="U57">
        <v>1616</v>
      </c>
      <c r="V57">
        <v>325</v>
      </c>
      <c r="W57">
        <v>6124</v>
      </c>
      <c r="X57">
        <v>8253</v>
      </c>
      <c r="Y57">
        <v>4536</v>
      </c>
      <c r="Z57">
        <v>2132</v>
      </c>
    </row>
    <row r="58" spans="1:26">
      <c r="A58" t="s">
        <v>89</v>
      </c>
      <c r="B58">
        <v>6927904</v>
      </c>
      <c r="C58">
        <v>6965740</v>
      </c>
      <c r="D58">
        <v>7062217</v>
      </c>
      <c r="E58">
        <v>7148304</v>
      </c>
      <c r="F58">
        <v>7227750</v>
      </c>
      <c r="G58">
        <v>19250</v>
      </c>
      <c r="H58">
        <v>79463</v>
      </c>
      <c r="I58">
        <v>82091</v>
      </c>
      <c r="J58">
        <v>83108</v>
      </c>
      <c r="K58">
        <v>83223</v>
      </c>
      <c r="L58">
        <v>18960</v>
      </c>
      <c r="M58">
        <v>89410</v>
      </c>
      <c r="N58">
        <v>91578</v>
      </c>
      <c r="O58">
        <v>81180</v>
      </c>
      <c r="P58">
        <v>79865</v>
      </c>
      <c r="Q58">
        <v>209</v>
      </c>
      <c r="R58">
        <v>3112</v>
      </c>
      <c r="S58">
        <v>19466</v>
      </c>
      <c r="T58">
        <v>22704</v>
      </c>
      <c r="U58">
        <v>27648</v>
      </c>
      <c r="V58">
        <v>14812</v>
      </c>
      <c r="W58">
        <v>45483</v>
      </c>
      <c r="X58">
        <v>83116</v>
      </c>
      <c r="Y58">
        <v>60293</v>
      </c>
      <c r="Z58">
        <v>48476</v>
      </c>
    </row>
    <row r="59" spans="1:26">
      <c r="A59" t="s">
        <v>91</v>
      </c>
      <c r="B59">
        <v>29239570</v>
      </c>
      <c r="C59">
        <v>29570351</v>
      </c>
      <c r="D59">
        <v>30113488</v>
      </c>
      <c r="E59">
        <v>30727890</v>
      </c>
      <c r="F59">
        <v>31290831</v>
      </c>
      <c r="G59">
        <v>88268</v>
      </c>
      <c r="H59">
        <v>364918</v>
      </c>
      <c r="I59">
        <v>384352</v>
      </c>
      <c r="J59">
        <v>390966</v>
      </c>
      <c r="K59">
        <v>388115</v>
      </c>
      <c r="L59">
        <v>55696</v>
      </c>
      <c r="M59">
        <v>270489</v>
      </c>
      <c r="N59">
        <v>261155</v>
      </c>
      <c r="O59">
        <v>232364</v>
      </c>
      <c r="P59">
        <v>229362</v>
      </c>
      <c r="Q59">
        <v>1955</v>
      </c>
      <c r="R59">
        <v>43476</v>
      </c>
      <c r="S59">
        <v>193143</v>
      </c>
      <c r="T59">
        <v>262618</v>
      </c>
      <c r="U59">
        <v>319569</v>
      </c>
      <c r="V59">
        <v>53751</v>
      </c>
      <c r="W59">
        <v>195564</v>
      </c>
      <c r="X59">
        <v>222154</v>
      </c>
      <c r="Y59">
        <v>190994</v>
      </c>
      <c r="Z59">
        <v>85267</v>
      </c>
    </row>
    <row r="60" spans="1:26">
      <c r="A60" t="s">
        <v>93</v>
      </c>
      <c r="B60">
        <v>3284077</v>
      </c>
      <c r="C60">
        <v>3339738</v>
      </c>
      <c r="D60">
        <v>3391011</v>
      </c>
      <c r="E60">
        <v>3443222</v>
      </c>
      <c r="F60">
        <v>3503613</v>
      </c>
      <c r="G60">
        <v>11862</v>
      </c>
      <c r="H60">
        <v>45704</v>
      </c>
      <c r="I60">
        <v>46280</v>
      </c>
      <c r="J60">
        <v>45448</v>
      </c>
      <c r="K60">
        <v>45695</v>
      </c>
      <c r="L60">
        <v>4973</v>
      </c>
      <c r="M60">
        <v>21976</v>
      </c>
      <c r="N60">
        <v>23312</v>
      </c>
      <c r="O60">
        <v>21196</v>
      </c>
      <c r="P60">
        <v>21709</v>
      </c>
      <c r="Q60">
        <v>118</v>
      </c>
      <c r="R60">
        <v>2055</v>
      </c>
      <c r="S60">
        <v>15177</v>
      </c>
      <c r="T60">
        <v>27421</v>
      </c>
      <c r="U60">
        <v>33133</v>
      </c>
      <c r="V60">
        <v>4658</v>
      </c>
      <c r="W60">
        <v>30032</v>
      </c>
      <c r="X60">
        <v>13488</v>
      </c>
      <c r="Y60">
        <v>493</v>
      </c>
      <c r="Z60">
        <v>3220</v>
      </c>
    </row>
    <row r="61" spans="1:26">
      <c r="A61" t="s">
        <v>95</v>
      </c>
      <c r="B61">
        <v>642977</v>
      </c>
      <c r="C61">
        <v>647210</v>
      </c>
      <c r="D61">
        <v>648142</v>
      </c>
      <c r="E61">
        <v>648708</v>
      </c>
      <c r="F61">
        <v>648493</v>
      </c>
      <c r="G61">
        <v>1303</v>
      </c>
      <c r="H61">
        <v>5153</v>
      </c>
      <c r="I61">
        <v>5401</v>
      </c>
      <c r="J61">
        <v>5100</v>
      </c>
      <c r="K61">
        <v>5039</v>
      </c>
      <c r="L61">
        <v>1552</v>
      </c>
      <c r="M61">
        <v>6439</v>
      </c>
      <c r="N61">
        <v>7178</v>
      </c>
      <c r="O61">
        <v>6857</v>
      </c>
      <c r="P61">
        <v>6762</v>
      </c>
      <c r="Q61">
        <v>21</v>
      </c>
      <c r="R61">
        <v>415</v>
      </c>
      <c r="S61">
        <v>1929</v>
      </c>
      <c r="T61">
        <v>1649</v>
      </c>
      <c r="U61">
        <v>2024</v>
      </c>
      <c r="V61">
        <v>-68</v>
      </c>
      <c r="W61">
        <v>4871</v>
      </c>
      <c r="X61">
        <v>1095</v>
      </c>
      <c r="Y61">
        <v>773</v>
      </c>
      <c r="Z61">
        <v>-511</v>
      </c>
    </row>
    <row r="62" spans="1:26">
      <c r="A62" t="s">
        <v>97</v>
      </c>
      <c r="B62">
        <v>8637615</v>
      </c>
      <c r="C62">
        <v>8658910</v>
      </c>
      <c r="D62">
        <v>8683414</v>
      </c>
      <c r="E62">
        <v>8734685</v>
      </c>
      <c r="F62">
        <v>8811195</v>
      </c>
      <c r="G62">
        <v>23580</v>
      </c>
      <c r="H62">
        <v>94275</v>
      </c>
      <c r="I62">
        <v>95620</v>
      </c>
      <c r="J62">
        <v>94428</v>
      </c>
      <c r="K62">
        <v>93593</v>
      </c>
      <c r="L62">
        <v>19692</v>
      </c>
      <c r="M62">
        <v>83637</v>
      </c>
      <c r="N62">
        <v>86147</v>
      </c>
      <c r="O62">
        <v>79759</v>
      </c>
      <c r="P62">
        <v>78443</v>
      </c>
      <c r="Q62">
        <v>766</v>
      </c>
      <c r="R62">
        <v>14319</v>
      </c>
      <c r="S62">
        <v>41157</v>
      </c>
      <c r="T62">
        <v>46416</v>
      </c>
      <c r="U62">
        <v>56155</v>
      </c>
      <c r="V62">
        <v>137</v>
      </c>
      <c r="W62">
        <v>-4643</v>
      </c>
      <c r="X62">
        <v>-25629</v>
      </c>
      <c r="Y62">
        <v>-9646</v>
      </c>
      <c r="Z62">
        <v>5284</v>
      </c>
    </row>
    <row r="63" spans="1:26">
      <c r="A63" t="s">
        <v>99</v>
      </c>
      <c r="B63">
        <v>7727209</v>
      </c>
      <c r="C63">
        <v>7743760</v>
      </c>
      <c r="D63">
        <v>7794123</v>
      </c>
      <c r="E63">
        <v>7857320</v>
      </c>
      <c r="F63">
        <v>7958180</v>
      </c>
      <c r="G63">
        <v>21105</v>
      </c>
      <c r="H63">
        <v>82602</v>
      </c>
      <c r="I63">
        <v>83978</v>
      </c>
      <c r="J63">
        <v>82165</v>
      </c>
      <c r="K63">
        <v>82072</v>
      </c>
      <c r="L63">
        <v>15169</v>
      </c>
      <c r="M63">
        <v>64953</v>
      </c>
      <c r="N63">
        <v>70873</v>
      </c>
      <c r="O63">
        <v>67819</v>
      </c>
      <c r="P63">
        <v>65635</v>
      </c>
      <c r="Q63">
        <v>667</v>
      </c>
      <c r="R63">
        <v>13991</v>
      </c>
      <c r="S63">
        <v>43544</v>
      </c>
      <c r="T63">
        <v>67068</v>
      </c>
      <c r="U63">
        <v>81581</v>
      </c>
      <c r="V63">
        <v>12045</v>
      </c>
      <c r="W63">
        <v>-15688</v>
      </c>
      <c r="X63">
        <v>-3452</v>
      </c>
      <c r="Y63">
        <v>-17293</v>
      </c>
      <c r="Z63">
        <v>2671</v>
      </c>
    </row>
    <row r="64" spans="1:26">
      <c r="A64" t="s">
        <v>101</v>
      </c>
      <c r="B64">
        <v>1791646</v>
      </c>
      <c r="C64">
        <v>1785618</v>
      </c>
      <c r="D64">
        <v>1774122</v>
      </c>
      <c r="E64">
        <v>1770495</v>
      </c>
      <c r="F64">
        <v>1769979</v>
      </c>
      <c r="G64">
        <v>4296</v>
      </c>
      <c r="H64">
        <v>17056</v>
      </c>
      <c r="I64">
        <v>17028</v>
      </c>
      <c r="J64">
        <v>16895</v>
      </c>
      <c r="K64">
        <v>16680</v>
      </c>
      <c r="L64">
        <v>5861</v>
      </c>
      <c r="M64">
        <v>27577</v>
      </c>
      <c r="N64">
        <v>29906</v>
      </c>
      <c r="O64">
        <v>25911</v>
      </c>
      <c r="P64">
        <v>24524</v>
      </c>
      <c r="Q64">
        <v>36</v>
      </c>
      <c r="R64">
        <v>727</v>
      </c>
      <c r="S64">
        <v>1673</v>
      </c>
      <c r="T64">
        <v>2320</v>
      </c>
      <c r="U64">
        <v>2841</v>
      </c>
      <c r="V64">
        <v>-793</v>
      </c>
      <c r="W64">
        <v>2984</v>
      </c>
      <c r="X64">
        <v>289</v>
      </c>
      <c r="Y64">
        <v>3296</v>
      </c>
      <c r="Z64">
        <v>4520</v>
      </c>
    </row>
    <row r="65" spans="1:26">
      <c r="A65" t="s">
        <v>103</v>
      </c>
      <c r="B65">
        <v>5897375</v>
      </c>
      <c r="C65">
        <v>5881608</v>
      </c>
      <c r="D65">
        <v>5903975</v>
      </c>
      <c r="E65">
        <v>5930405</v>
      </c>
      <c r="F65">
        <v>5960975</v>
      </c>
      <c r="G65">
        <v>15554</v>
      </c>
      <c r="H65">
        <v>60035</v>
      </c>
      <c r="I65">
        <v>60782</v>
      </c>
      <c r="J65">
        <v>60148</v>
      </c>
      <c r="K65">
        <v>59445</v>
      </c>
      <c r="L65">
        <v>14164</v>
      </c>
      <c r="M65">
        <v>61984</v>
      </c>
      <c r="N65">
        <v>63549</v>
      </c>
      <c r="O65">
        <v>58788</v>
      </c>
      <c r="P65">
        <v>57405</v>
      </c>
      <c r="Q65">
        <v>214</v>
      </c>
      <c r="R65">
        <v>3189</v>
      </c>
      <c r="S65">
        <v>19693</v>
      </c>
      <c r="T65">
        <v>18247</v>
      </c>
      <c r="U65">
        <v>22146</v>
      </c>
      <c r="V65">
        <v>42</v>
      </c>
      <c r="W65">
        <v>-18603</v>
      </c>
      <c r="X65">
        <v>7502</v>
      </c>
      <c r="Y65">
        <v>7685</v>
      </c>
      <c r="Z65">
        <v>6332</v>
      </c>
    </row>
    <row r="66" spans="1:26">
      <c r="A66" t="s">
        <v>105</v>
      </c>
      <c r="B66">
        <v>577681</v>
      </c>
      <c r="C66">
        <v>579636</v>
      </c>
      <c r="D66">
        <v>581978</v>
      </c>
      <c r="E66">
        <v>585067</v>
      </c>
      <c r="F66">
        <v>587618</v>
      </c>
      <c r="G66">
        <v>1584</v>
      </c>
      <c r="H66">
        <v>6164</v>
      </c>
      <c r="I66">
        <v>6122</v>
      </c>
      <c r="J66">
        <v>6057</v>
      </c>
      <c r="K66">
        <v>6037</v>
      </c>
      <c r="L66">
        <v>1286</v>
      </c>
      <c r="M66">
        <v>6170</v>
      </c>
      <c r="N66">
        <v>6728</v>
      </c>
      <c r="O66">
        <v>5706</v>
      </c>
      <c r="P66">
        <v>5634</v>
      </c>
      <c r="Q66">
        <v>18</v>
      </c>
      <c r="R66">
        <v>137</v>
      </c>
      <c r="S66">
        <v>551</v>
      </c>
      <c r="T66">
        <v>1037</v>
      </c>
      <c r="U66">
        <v>1285</v>
      </c>
      <c r="V66">
        <v>445</v>
      </c>
      <c r="W66">
        <v>1809</v>
      </c>
      <c r="X66">
        <v>2449</v>
      </c>
      <c r="Y66">
        <v>1741</v>
      </c>
      <c r="Z66">
        <v>861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1B63-72C6-7B46-96E0-BA74B11D0BFA}">
  <dimension ref="A1:F47"/>
  <sheetViews>
    <sheetView tabSelected="1" workbookViewId="0">
      <selection activeCell="B9" sqref="B9"/>
    </sheetView>
  </sheetViews>
  <sheetFormatPr baseColWidth="10" defaultColWidth="10.6640625" defaultRowHeight="16"/>
  <cols>
    <col min="1" max="1" width="49.83203125" bestFit="1" customWidth="1"/>
    <col min="2" max="2" width="22.83203125" bestFit="1" customWidth="1"/>
    <col min="3" max="3" width="31" bestFit="1" customWidth="1"/>
    <col min="4" max="4" width="49.6640625" bestFit="1" customWidth="1"/>
    <col min="5" max="5" width="37" bestFit="1" customWidth="1"/>
    <col min="6" max="6" width="75" customWidth="1"/>
  </cols>
  <sheetData>
    <row r="1" spans="1:6">
      <c r="A1" s="9" t="s">
        <v>134</v>
      </c>
      <c r="B1" s="9" t="s">
        <v>136</v>
      </c>
      <c r="C1" s="9" t="s">
        <v>135</v>
      </c>
      <c r="D1" s="9" t="s">
        <v>147</v>
      </c>
      <c r="E1" s="9" t="s">
        <v>148</v>
      </c>
      <c r="F1" s="9" t="s">
        <v>137</v>
      </c>
    </row>
    <row r="2" spans="1:6">
      <c r="A2" t="s">
        <v>129</v>
      </c>
      <c r="B2" t="s">
        <v>142</v>
      </c>
      <c r="C2" s="15">
        <v>2020</v>
      </c>
      <c r="D2" t="s">
        <v>118</v>
      </c>
      <c r="E2" t="s">
        <v>119</v>
      </c>
      <c r="F2" s="14" t="s">
        <v>132</v>
      </c>
    </row>
    <row r="3" spans="1:6">
      <c r="A3" t="s">
        <v>130</v>
      </c>
      <c r="B3" t="s">
        <v>143</v>
      </c>
      <c r="C3" s="15">
        <v>2020</v>
      </c>
      <c r="D3" t="s">
        <v>118</v>
      </c>
      <c r="E3" t="s">
        <v>119</v>
      </c>
      <c r="F3" s="14" t="s">
        <v>132</v>
      </c>
    </row>
    <row r="4" spans="1:6">
      <c r="A4" t="s">
        <v>109</v>
      </c>
      <c r="B4" t="s">
        <v>138</v>
      </c>
      <c r="C4" s="15" t="s">
        <v>153</v>
      </c>
      <c r="D4" t="s">
        <v>144</v>
      </c>
      <c r="E4" t="s">
        <v>150</v>
      </c>
      <c r="F4" s="14" t="s">
        <v>110</v>
      </c>
    </row>
    <row r="5" spans="1:6">
      <c r="A5" t="s">
        <v>112</v>
      </c>
      <c r="B5" t="s">
        <v>139</v>
      </c>
      <c r="C5" s="15" t="s">
        <v>154</v>
      </c>
      <c r="D5" t="s">
        <v>145</v>
      </c>
      <c r="E5" t="s">
        <v>149</v>
      </c>
      <c r="F5" s="14" t="s">
        <v>113</v>
      </c>
    </row>
    <row r="6" spans="1:6">
      <c r="A6" t="s">
        <v>114</v>
      </c>
      <c r="B6" t="s">
        <v>140</v>
      </c>
      <c r="C6" s="15" t="s">
        <v>155</v>
      </c>
      <c r="D6" t="s">
        <v>144</v>
      </c>
      <c r="E6" t="s">
        <v>151</v>
      </c>
      <c r="F6" s="14" t="s">
        <v>115</v>
      </c>
    </row>
    <row r="7" spans="1:6">
      <c r="A7" t="s">
        <v>116</v>
      </c>
      <c r="B7" t="s">
        <v>141</v>
      </c>
      <c r="C7" s="15" t="s">
        <v>155</v>
      </c>
      <c r="D7" t="s">
        <v>144</v>
      </c>
      <c r="E7" t="s">
        <v>151</v>
      </c>
      <c r="F7" s="14" t="s">
        <v>115</v>
      </c>
    </row>
    <row r="8" spans="1:6">
      <c r="A8" t="s">
        <v>117</v>
      </c>
      <c r="B8" t="s">
        <v>139</v>
      </c>
      <c r="C8" s="15">
        <v>2020</v>
      </c>
      <c r="D8" t="s">
        <v>118</v>
      </c>
      <c r="E8" t="s">
        <v>119</v>
      </c>
      <c r="F8" s="14" t="s">
        <v>157</v>
      </c>
    </row>
    <row r="9" spans="1:6">
      <c r="A9" t="s">
        <v>120</v>
      </c>
      <c r="B9" t="s">
        <v>139</v>
      </c>
      <c r="C9" s="15" t="s">
        <v>156</v>
      </c>
      <c r="D9" t="s">
        <v>146</v>
      </c>
      <c r="E9" t="s">
        <v>126</v>
      </c>
      <c r="F9" s="14" t="s">
        <v>121</v>
      </c>
    </row>
    <row r="10" spans="1:6">
      <c r="A10" t="s">
        <v>123</v>
      </c>
      <c r="B10" t="s">
        <v>138</v>
      </c>
      <c r="C10" s="15" t="s">
        <v>229</v>
      </c>
      <c r="D10" t="s">
        <v>146</v>
      </c>
      <c r="E10" t="s">
        <v>152</v>
      </c>
      <c r="F10" s="14" t="s">
        <v>124</v>
      </c>
    </row>
    <row r="11" spans="1:6">
      <c r="A11" t="s">
        <v>184</v>
      </c>
      <c r="B11" t="s">
        <v>139</v>
      </c>
      <c r="C11" s="15" t="s">
        <v>156</v>
      </c>
      <c r="D11" t="s">
        <v>146</v>
      </c>
      <c r="E11" t="s">
        <v>126</v>
      </c>
      <c r="F11" s="14" t="s">
        <v>133</v>
      </c>
    </row>
    <row r="12" spans="1:6">
      <c r="A12" t="s">
        <v>127</v>
      </c>
      <c r="B12" t="s">
        <v>139</v>
      </c>
      <c r="C12" s="15" t="s">
        <v>156</v>
      </c>
      <c r="D12" t="s">
        <v>146</v>
      </c>
      <c r="E12" t="s">
        <v>126</v>
      </c>
      <c r="F12" s="14" t="s">
        <v>133</v>
      </c>
    </row>
    <row r="13" spans="1:6">
      <c r="A13" t="s">
        <v>128</v>
      </c>
      <c r="B13" t="s">
        <v>139</v>
      </c>
      <c r="C13" s="15" t="s">
        <v>156</v>
      </c>
      <c r="D13" t="s">
        <v>146</v>
      </c>
      <c r="E13" t="s">
        <v>126</v>
      </c>
      <c r="F13" s="14" t="s">
        <v>133</v>
      </c>
    </row>
    <row r="15" spans="1:6">
      <c r="A15" t="s">
        <v>129</v>
      </c>
      <c r="B15" t="s">
        <v>142</v>
      </c>
      <c r="C15" s="15">
        <v>2023</v>
      </c>
      <c r="D15" t="s">
        <v>118</v>
      </c>
      <c r="E15" t="s">
        <v>119</v>
      </c>
      <c r="F15" s="14" t="s">
        <v>257</v>
      </c>
    </row>
    <row r="16" spans="1:6">
      <c r="A16" t="s">
        <v>130</v>
      </c>
      <c r="B16" t="s">
        <v>143</v>
      </c>
      <c r="C16" s="15">
        <v>2023</v>
      </c>
      <c r="D16" t="s">
        <v>118</v>
      </c>
      <c r="E16" t="s">
        <v>119</v>
      </c>
      <c r="F16" s="14" t="s">
        <v>257</v>
      </c>
    </row>
    <row r="17" spans="1:6">
      <c r="A17" s="9" t="s">
        <v>109</v>
      </c>
      <c r="B17" t="s">
        <v>138</v>
      </c>
      <c r="C17" s="15" t="s">
        <v>180</v>
      </c>
      <c r="D17" t="s">
        <v>144</v>
      </c>
      <c r="E17" t="s">
        <v>150</v>
      </c>
      <c r="F17" s="14" t="s">
        <v>110</v>
      </c>
    </row>
    <row r="18" spans="1:6">
      <c r="A18" s="9" t="s">
        <v>112</v>
      </c>
      <c r="B18" t="s">
        <v>139</v>
      </c>
      <c r="C18" s="15" t="s">
        <v>154</v>
      </c>
      <c r="D18" t="s">
        <v>145</v>
      </c>
      <c r="E18" t="s">
        <v>149</v>
      </c>
      <c r="F18" s="14" t="s">
        <v>232</v>
      </c>
    </row>
    <row r="19" spans="1:6">
      <c r="A19" s="9" t="s">
        <v>114</v>
      </c>
      <c r="B19" t="s">
        <v>140</v>
      </c>
      <c r="C19" s="15" t="s">
        <v>185</v>
      </c>
      <c r="D19" t="s">
        <v>144</v>
      </c>
      <c r="E19" t="s">
        <v>151</v>
      </c>
      <c r="F19" s="14" t="s">
        <v>115</v>
      </c>
    </row>
    <row r="20" spans="1:6">
      <c r="A20" s="9" t="s">
        <v>116</v>
      </c>
      <c r="B20" t="s">
        <v>141</v>
      </c>
      <c r="C20" s="15" t="s">
        <v>185</v>
      </c>
      <c r="D20" t="s">
        <v>144</v>
      </c>
      <c r="E20" t="s">
        <v>151</v>
      </c>
      <c r="F20" s="14" t="s">
        <v>115</v>
      </c>
    </row>
    <row r="21" spans="1:6">
      <c r="A21" t="s">
        <v>117</v>
      </c>
      <c r="B21" t="s">
        <v>139</v>
      </c>
      <c r="C21" s="15">
        <v>2020</v>
      </c>
      <c r="D21" t="s">
        <v>118</v>
      </c>
      <c r="E21" t="s">
        <v>119</v>
      </c>
      <c r="F21" s="14" t="s">
        <v>157</v>
      </c>
    </row>
    <row r="22" spans="1:6">
      <c r="A22" t="s">
        <v>120</v>
      </c>
      <c r="B22" t="s">
        <v>139</v>
      </c>
      <c r="C22" s="15" t="s">
        <v>156</v>
      </c>
      <c r="D22" t="s">
        <v>146</v>
      </c>
      <c r="E22" t="s">
        <v>126</v>
      </c>
      <c r="F22" s="14" t="s">
        <v>121</v>
      </c>
    </row>
    <row r="23" spans="1:6">
      <c r="A23" s="9" t="s">
        <v>123</v>
      </c>
      <c r="B23" t="s">
        <v>138</v>
      </c>
      <c r="C23" s="15" t="s">
        <v>230</v>
      </c>
      <c r="D23" t="s">
        <v>146</v>
      </c>
      <c r="E23" t="s">
        <v>152</v>
      </c>
      <c r="F23" s="14" t="s">
        <v>231</v>
      </c>
    </row>
    <row r="24" spans="1:6">
      <c r="A24" t="s">
        <v>184</v>
      </c>
      <c r="B24" t="s">
        <v>139</v>
      </c>
      <c r="C24" s="15" t="s">
        <v>156</v>
      </c>
      <c r="D24" t="s">
        <v>146</v>
      </c>
      <c r="E24" t="s">
        <v>126</v>
      </c>
      <c r="F24" s="14" t="s">
        <v>133</v>
      </c>
    </row>
    <row r="25" spans="1:6">
      <c r="A25" t="s">
        <v>127</v>
      </c>
      <c r="B25" t="s">
        <v>139</v>
      </c>
      <c r="C25" s="15" t="s">
        <v>156</v>
      </c>
      <c r="D25" t="s">
        <v>146</v>
      </c>
      <c r="E25" t="s">
        <v>126</v>
      </c>
      <c r="F25" s="14" t="s">
        <v>133</v>
      </c>
    </row>
    <row r="26" spans="1:6">
      <c r="A26" t="s">
        <v>128</v>
      </c>
      <c r="B26" t="s">
        <v>139</v>
      </c>
      <c r="C26" s="15" t="s">
        <v>156</v>
      </c>
      <c r="D26" t="s">
        <v>146</v>
      </c>
      <c r="E26" t="s">
        <v>126</v>
      </c>
      <c r="F26" s="14" t="s">
        <v>133</v>
      </c>
    </row>
    <row r="28" spans="1:6">
      <c r="A28" t="s">
        <v>183</v>
      </c>
    </row>
    <row r="29" spans="1:6" ht="31">
      <c r="A29" s="19" t="s">
        <v>125</v>
      </c>
    </row>
    <row r="30" spans="1:6" ht="24">
      <c r="A30" s="20" t="s">
        <v>181</v>
      </c>
      <c r="E30" t="s">
        <v>186</v>
      </c>
    </row>
    <row r="31" spans="1:6" s="1" customFormat="1" ht="85">
      <c r="A31" s="21" t="s">
        <v>182</v>
      </c>
    </row>
    <row r="32" spans="1:6">
      <c r="E32" t="s">
        <v>187</v>
      </c>
    </row>
    <row r="34" spans="6:6">
      <c r="F34" s="14"/>
    </row>
    <row r="36" spans="6:6">
      <c r="F36" s="9"/>
    </row>
    <row r="37" spans="6:6">
      <c r="F37" s="9"/>
    </row>
    <row r="38" spans="6:6">
      <c r="F38" s="9"/>
    </row>
    <row r="45" spans="6:6">
      <c r="F45" s="9"/>
    </row>
    <row r="47" spans="6:6">
      <c r="F47" s="9"/>
    </row>
  </sheetData>
  <hyperlinks>
    <hyperlink ref="F4" r:id="rId1" xr:uid="{64C87F8A-C500-3F4B-9676-A07D8A836B43}"/>
    <hyperlink ref="F5" r:id="rId2" xr:uid="{982C97C0-81F7-6F42-A804-992475FDADBB}"/>
    <hyperlink ref="F6" r:id="rId3" xr:uid="{51127C0C-5D5B-EC46-B9EA-40254D69A95D}"/>
    <hyperlink ref="F10" r:id="rId4" xr:uid="{3AE084A8-093E-6044-8B0A-2DE35F2219F1}"/>
    <hyperlink ref="F2" r:id="rId5" xr:uid="{EB26BA43-98E6-8B4F-A746-91A22E67FB09}"/>
    <hyperlink ref="F3" r:id="rId6" xr:uid="{95DE7544-27FF-9C42-B2F1-20F10941643C}"/>
    <hyperlink ref="F7" r:id="rId7" xr:uid="{53CD45AF-4EED-D245-BA1D-20D3048606EF}"/>
    <hyperlink ref="F9" r:id="rId8" xr:uid="{AD90978F-8C76-9C46-9029-3A7DDF179114}"/>
    <hyperlink ref="F11" r:id="rId9" xr:uid="{92887401-B505-4C0D-B2C4-C4D6B14429C7}"/>
    <hyperlink ref="F17" r:id="rId10" xr:uid="{8831E4FA-5267-412D-8FE1-2BA89949FD82}"/>
    <hyperlink ref="F18" r:id="rId11" xr:uid="{2BFE42DF-C8E8-41B9-B87F-EB386F8B99C3}"/>
    <hyperlink ref="F19" r:id="rId12" xr:uid="{24F52082-D5F5-405E-9F98-9E96D6643F7D}"/>
    <hyperlink ref="F23" r:id="rId13" xr:uid="{3D2E69FB-0344-4354-9D19-90FD969455FA}"/>
    <hyperlink ref="F15" r:id="rId14" xr:uid="{0C2A0D23-C7F0-4620-8665-0EE7A3B87EBB}"/>
    <hyperlink ref="F16" r:id="rId15" xr:uid="{FD11011F-71A9-4E3B-B319-B8D7A93E0546}"/>
    <hyperlink ref="F20" r:id="rId16" xr:uid="{37220A25-2162-4BB1-BACA-74EDF7AFBF7A}"/>
    <hyperlink ref="F22" r:id="rId17" xr:uid="{70AEE5A4-2FC3-4DEC-BCC7-5E749CA0B1AA}"/>
    <hyperlink ref="F24" r:id="rId18" xr:uid="{C61AC1B4-B062-4BB8-8FE1-E9B60A1D878E}"/>
    <hyperlink ref="F21" r:id="rId19" xr:uid="{3E013E1C-D5FE-418D-90E4-0A70A2C06B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Data2020</vt:lpstr>
      <vt:lpstr>Data2023</vt:lpstr>
      <vt:lpstr>Poverty</vt:lpstr>
      <vt:lpstr>Race</vt:lpstr>
      <vt:lpstr>NSLP</vt:lpstr>
      <vt:lpstr>USPop</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Food insecurity data</dc:title>
  <dc:creator>Schwabish, Jonathan</dc:creator>
  <cp:lastModifiedBy>Macsen Higgins</cp:lastModifiedBy>
  <dcterms:created xsi:type="dcterms:W3CDTF">2021-09-14T19:26:54Z</dcterms:created>
  <dcterms:modified xsi:type="dcterms:W3CDTF">2026-10-16T16:14:40Z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ata-panorama-remediation-history">
    <vt:lpwstr>[{"title":"Food insecurity data","pageNumber":0,"geomIndex":-1,"issueTypeId":"MissingTitleIssue:XLSX","dismiss":false,"pageNumbers":[1],"coordinatesList":[[10.0,10.0,2.0,2.0]]}]</vt:lpwstr>
  </property>
</Properties>
</file>